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8374ad64af1488f" /></Relationships>
</file>

<file path=xl/workbook.xml><?xml version="1.0" encoding="utf-8"?>
<x:workbook xmlns:x="http://schemas.openxmlformats.org/spreadsheetml/2006/main">
  <x:sheets>
    <x:sheet xmlns:r="http://schemas.openxmlformats.org/officeDocument/2006/relationships" name="Calendário" sheetId="1" r:id="R10a70906c21c44c7"/>
    <x:sheet xmlns:r="http://schemas.openxmlformats.org/officeDocument/2006/relationships" name="Roteiros" sheetId="2" r:id="R63ec3cf410f04b58"/>
    <x:sheet xmlns:r="http://schemas.openxmlformats.org/officeDocument/2006/relationships" name="Stories" sheetId="3" r:id="R16afa381e06d4a4d"/>
    <x:sheet xmlns:r="http://schemas.openxmlformats.org/officeDocument/2006/relationships" name="Direção" sheetId="4" r:id="Rd3cea3725ee546df"/>
    <x:sheet xmlns:r="http://schemas.openxmlformats.org/officeDocument/2006/relationships" name="Produção mensal" sheetId="5" r:id="Rf31d510b151f4704"/>
  </x:sheets>
</x:workbook>
</file>

<file path=xl/sharedStrings.xml><?xml version="1.0" encoding="utf-8"?>
<x:sst xmlns:x="http://schemas.openxmlformats.org/spreadsheetml/2006/main">
  <x:si>
    <x:t xml:space="preserve">Arxis · Cronograma de Instagram, Facebook, LinkedIn, TikTok e YouTube · 360 dias</x:t>
  </x:si>
  <x:si>
    <x:t xml:space="preserve">14/09/2026 a 08/09/2027. Horários de Brasília. Base editorial de 360 dias; conteúdo de produto, bastidores e lançamentos entram pelas reuniões semanais. Produz-se uma vez para o Instagram e redistribui-se sem retrabalho.</x:t>
  </x:si>
  <x:si>
    <x:t xml:space="preserve">Pautas</x:t>
  </x:si>
  <x:si>
    <x:t xml:space="preserve">Reels</x:t>
  </x:si>
  <x:si>
    <x:t xml:space="preserve">Quadros de Stories</x:t>
  </x:si>
  <x:si>
    <x:t xml:space="preserve">ID</x:t>
  </x:si>
  <x:si>
    <x:t xml:space="preserve">Data</x:t>
  </x:si>
  <x:si>
    <x:t xml:space="preserve">Dia</x:t>
  </x:si>
  <x:si>
    <x:t xml:space="preserve">Hora</x:t>
  </x:si>
  <x:si>
    <x:t xml:space="preserve">Formato</x:t>
  </x:si>
  <x:si>
    <x:t xml:space="preserve">Tema</x:t>
  </x:si>
  <x:si>
    <x:t xml:space="preserve">Objetivo</x:t>
  </x:si>
  <x:si>
    <x:t xml:space="preserve">Chamada para ação</x:t>
  </x:si>
  <x:si>
    <x:t xml:space="preserve">Status Instagram</x:t>
  </x:si>
  <x:si>
    <x:t xml:space="preserve">Status Facebook</x:t>
  </x:si>
  <x:si>
    <x:t xml:space="preserve">Distribuição</x:t>
  </x:si>
  <x:si>
    <x:t xml:space="preserve">Status LinkedIn</x:t>
  </x:si>
  <x:si>
    <x:t xml:space="preserve">Responsável</x:t>
  </x:si>
  <x:si>
    <x:t xml:space="preserve">P01</x:t>
  </x:si>
  <x:si>
    <x:t xml:space="preserve">Seg</x:t>
  </x:si>
  <x:si>
    <x:t xml:space="preserve">Estático</x:t>
  </x:si>
  <x:si>
    <x:t xml:space="preserve">Conheça a Arxis: visualize, analise,
decida.</x:t>
  </x:si>
  <x:si>
    <x:t xml:space="preserve">Apresentar a marca</x:t>
  </x:si>
  <x:si>
    <x:t xml:space="preserve">Siga a Arxis</x:t>
  </x:si>
  <x:si>
    <x:t xml:space="preserve">IG feed · FB · LinkedIn (imagem)</x:t>
  </x:si>
  <x:si>
    <x:t xml:space="preserve">P02</x:t>
  </x:si>
  <x:si>
    <x:t xml:space="preserve">Qua</x:t>
  </x:si>
  <x:si>
    <x:t xml:space="preserve">Reel</x:t>
  </x:si>
  <x:si>
    <x:t xml:space="preserve">BIM em 30 segundos: o que há por trás do
modelo?</x:t>
  </x:si>
  <x:si>
    <x:t xml:space="preserve">Atrair público
interessado</x:t>
  </x:si>
  <x:si>
    <x:t xml:space="preserve">Salve para consultar</x:t>
  </x:si>
  <x:si>
    <x:t xml:space="preserve">IG Reels · FB · TikTok · YouTube Shorts · LinkedIn (vídeo)</x:t>
  </x:si>
  <x:si>
    <x:t xml:space="preserve">P03</x:t>
  </x:si>
  <x:si>
    <x:t xml:space="preserve">Sex</x:t>
  </x:si>
  <x:si>
    <x:t xml:space="preserve">Carrossel</x:t>
  </x:si>
  <x:si>
    <x:t xml:space="preserve">Modelo 3D e informação: o que você
precisa conferir?</x:t>
  </x:si>
  <x:si>
    <x:t xml:space="preserve">Ensinar e gerar
salvamentos</x:t>
  </x:si>
  <x:si>
    <x:t xml:space="preserve">Salve o checklist</x:t>
  </x:si>
  <x:si>
    <x:t xml:space="preserve">IG feed · FB · LinkedIn (PDF nativo)</x:t>
  </x:si>
  <x:si>
    <x:t xml:space="preserve">P04</x:t>
  </x:si>
  <x:si>
    <x:t xml:space="preserve">Sáb</x:t>
  </x:si>
  <x:si>
    <x:t xml:space="preserve">Qual é o maior gargalo na sua rotina de
projetos?</x:t>
  </x:si>
  <x:si>
    <x:t xml:space="preserve">Ouvir o público</x:t>
  </x:si>
  <x:si>
    <x:t xml:space="preserve">Conte sua dificuldade</x:t>
  </x:si>
  <x:si>
    <x:t xml:space="preserve">P05</x:t>
  </x:si>
  <x:si>
    <x:t xml:space="preserve">Antes de aprovar uma alteração, faça
cinco perguntas.</x:t>
  </x:si>
  <x:si>
    <x:t xml:space="preserve">Ajudar na rotina de
revisão</x:t>
  </x:si>
  <x:si>
    <x:t xml:space="preserve">Envie para a equipe</x:t>
  </x:si>
  <x:si>
    <x:t xml:space="preserve">P06</x:t>
  </x:si>
  <x:si>
    <x:t xml:space="preserve">Um detalhe que muda sua leitura do
projeto.</x:t>
  </x:si>
  <x:si>
    <x:t xml:space="preserve">Mostrar um uso prático</x:t>
  </x:si>
  <x:si>
    <x:t xml:space="preserve">Envie MODELO por mensagem</x:t>
  </x:si>
  <x:si>
    <x:t xml:space="preserve">P07</x:t>
  </x:si>
  <x:si>
    <x:t xml:space="preserve">Sete itens para uma reunião de projeto
mais clara.</x:t>
  </x:si>
  <x:si>
    <x:t xml:space="preserve">Gerar utilidade e
compartilhamentos</x:t>
  </x:si>
  <x:si>
    <x:t xml:space="preserve">Salve para a próxima
reunião</x:t>
  </x:si>
  <x:si>
    <x:t xml:space="preserve">P08</x:t>
  </x:si>
  <x:si>
    <x:t xml:space="preserve">Quem confirma a informação antes da
decisão?</x:t>
  </x:si>
  <x:si>
    <x:t xml:space="preserve">Reforçar posicionamento</x:t>
  </x:si>
  <x:si>
    <x:t xml:space="preserve">Compartilhe com a equipe</x:t>
  </x:si>
  <x:si>
    <x:t xml:space="preserve">P09</x:t>
  </x:si>
  <x:si>
    <x:t xml:space="preserve">Como avaliar duas alternativas de
projeto.</x:t>
  </x:si>
  <x:si>
    <x:t xml:space="preserve">Introduzir o tema de
cenários</x:t>
  </x:si>
  <x:si>
    <x:t xml:space="preserve">Salve o roteiro de
comparação</x:t>
  </x:si>
  <x:si>
    <x:t xml:space="preserve">P10</x:t>
  </x:si>
  <x:si>
    <x:t xml:space="preserve">Como registrar uma alternativa para
retomar depois.</x:t>
  </x:si>
  <x:si>
    <x:t xml:space="preserve">Demonstrar o conceito de
cenário</x:t>
  </x:si>
  <x:si>
    <x:t xml:space="preserve">Envie CENÁRIO por mensagem</x:t>
  </x:si>
  <x:si>
    <x:t xml:space="preserve">P11</x:t>
  </x:si>
  <x:si>
    <x:t xml:space="preserve">openBIM: por que falar sobre troca de
informações?</x:t>
  </x:si>
  <x:si>
    <x:t xml:space="preserve">Educar sobre
interoperabilidade</x:t>
  </x:si>
  <x:si>
    <x:t xml:space="preserve">Envie para quem troca
modelos</x:t>
  </x:si>
  <x:si>
    <x:t xml:space="preserve">P12</x:t>
  </x:si>
  <x:si>
    <x:t xml:space="preserve">Três perguntas que revelam falta de
contexto.</x:t>
  </x:si>
  <x:si>
    <x:t xml:space="preserve">Gerar identificação</x:t>
  </x:si>
  <x:si>
    <x:t xml:space="preserve">Conte qual aparece mais</x:t>
  </x:si>
  <x:si>
    <x:t xml:space="preserve">P13</x:t>
  </x:si>
  <x:si>
    <x:t xml:space="preserve">Comece por uma pergunta do seu projeto.</x:t>
  </x:si>
  <x:si>
    <x:t xml:space="preserve">Aproximar o conteúdo da
aplicação</x:t>
  </x:si>
  <x:si>
    <x:t xml:space="preserve">Envie sua principal dúvida</x:t>
  </x:si>
  <x:si>
    <x:t xml:space="preserve">P14</x:t>
  </x:si>
  <x:si>
    <x:t xml:space="preserve">Uma dúvida da rotina: por onde começar a
análise?</x:t>
  </x:si>
  <x:si>
    <x:t xml:space="preserve">Criar proximidade e
responder dúvidas</x:t>
  </x:si>
  <x:si>
    <x:t xml:space="preserve">Envie a próxima pergunta</x:t>
  </x:si>
  <x:si>
    <x:t xml:space="preserve">P15</x:t>
  </x:si>
  <x:si>
    <x:t xml:space="preserve">Como avaliar uma ferramenta BIM para sua
equipe.</x:t>
  </x:si>
  <x:si>
    <x:t xml:space="preserve">Gerar conversas
qualificadas</x:t>
  </x:si>
  <x:si>
    <x:t xml:space="preserve">Envie seus critérios por
mensagem</x:t>
  </x:si>
  <x:si>
    <x:t xml:space="preserve">P16</x:t>
  </x:si>
  <x:si>
    <x:t xml:space="preserve">Vamos conversar sobre o seu próximo
projeto?</x:t>
  </x:si>
  <x:si>
    <x:t xml:space="preserve">Abrir conversas
comerciais</x:t>
  </x:si>
  <x:si>
    <x:t xml:space="preserve">Envie PROJETO por mensagem</x:t>
  </x:si>
  <x:si>
    <x:t xml:space="preserve">P17</x:t>
  </x:si>
  <x:si>
    <x:t xml:space="preserve">O que conferir na ficha de um elemento?</x:t>
  </x:si>
  <x:si>
    <x:t xml:space="preserve">Explicar o tema da
semana</x:t>
  </x:si>
  <x:si>
    <x:t xml:space="preserve">Salve para a próxima
análise</x:t>
  </x:si>
  <x:si>
    <x:t xml:space="preserve">P18</x:t>
  </x:si>
  <x:si>
    <x:t xml:space="preserve">Exemplo prático: propriedades dos
elementos.</x:t>
  </x:si>
  <x:si>
    <x:t xml:space="preserve">Tornar o conceito visual</x:t>
  </x:si>
  <x:si>
    <x:t xml:space="preserve">Salve este exemplo</x:t>
  </x:si>
  <x:si>
    <x:t xml:space="preserve">P19</x:t>
  </x:si>
  <x:si>
    <x:t xml:space="preserve">Checklist: propriedades dos elementos.</x:t>
  </x:si>
  <x:si>
    <x:t xml:space="preserve">Oferecer um roteiro de
trabalho</x:t>
  </x:si>
  <x:si>
    <x:t xml:space="preserve">P20</x:t>
  </x:si>
  <x:si>
    <x:t xml:space="preserve">Qual propriedade você consulta primeiro?</x:t>
  </x:si>
  <x:si>
    <x:t xml:space="preserve">Ouvir a comunidade</x:t>
  </x:si>
  <x:si>
    <x:t xml:space="preserve">Responda nos comentários</x:t>
  </x:si>
  <x:si>
    <x:t xml:space="preserve">P21</x:t>
  </x:si>
  <x:si>
    <x:t xml:space="preserve">Como encontrar o detalhe certo no
projeto?</x:t>
  </x:si>
  <x:si>
    <x:t xml:space="preserve">Envie para quem revisa com
você</x:t>
  </x:si>
  <x:si>
    <x:t xml:space="preserve">P22</x:t>
  </x:si>
  <x:si>
    <x:t xml:space="preserve">Exemplo prático: localização no modelo.</x:t>
  </x:si>
  <x:si>
    <x:t xml:space="preserve">Envie sua dúvida</x:t>
  </x:si>
  <x:si>
    <x:t xml:space="preserve">P23</x:t>
  </x:si>
  <x:si>
    <x:t xml:space="preserve">Checklist: localização no modelo.</x:t>
  </x:si>
  <x:si>
    <x:t xml:space="preserve">Leve para a próxima
reunião</x:t>
  </x:si>
  <x:si>
    <x:t xml:space="preserve">P24</x:t>
  </x:si>
  <x:si>
    <x:t xml:space="preserve">Como você indica um detalhe para a
equipe?</x:t>
  </x:si>
  <x:si>
    <x:t xml:space="preserve">P25</x:t>
  </x:si>
  <x:si>
    <x:t xml:space="preserve">Arquitetura, estrutura e instalações: o
que observar?</x:t>
  </x:si>
  <x:si>
    <x:t xml:space="preserve">P26</x:t>
  </x:si>
  <x:si>
    <x:t xml:space="preserve">Exemplo prático: disciplinas e contexto.</x:t>
  </x:si>
  <x:si>
    <x:t xml:space="preserve">P27</x:t>
  </x:si>
  <x:si>
    <x:t xml:space="preserve">Checklist: disciplinas e contexto.</x:t>
  </x:si>
  <x:si>
    <x:t xml:space="preserve">P28</x:t>
  </x:si>
  <x:si>
    <x:t xml:space="preserve">Qual interface entre disciplinas mais
gera dúvidas?</x:t>
  </x:si>
  <x:si>
    <x:t xml:space="preserve">P29</x:t>
  </x:si>
  <x:si>
    <x:t xml:space="preserve">Os modelos estão olhando para o mesmo
lugar?</x:t>
  </x:si>
  <x:si>
    <x:t xml:space="preserve">Conte sua experiência</x:t>
  </x:si>
  <x:si>
    <x:t xml:space="preserve">P30</x:t>
  </x:si>
  <x:si>
    <x:t xml:space="preserve">Exemplo prático: referências de posição.</x:t>
  </x:si>
  <x:si>
    <x:t xml:space="preserve">P31</x:t>
  </x:si>
  <x:si>
    <x:t xml:space="preserve">Checklist: referências de posição.</x:t>
  </x:si>
  <x:si>
    <x:t xml:space="preserve">Use no próximo exemplo</x:t>
  </x:si>
  <x:si>
    <x:t xml:space="preserve">P32</x:t>
  </x:si>
  <x:si>
    <x:t xml:space="preserve">Converse com a Arxis sobre referências de
posição.</x:t>
  </x:si>
  <x:si>
    <x:t xml:space="preserve">Abrir conversa com
contexto</x:t>
  </x:si>
  <x:si>
    <x:t xml:space="preserve">P33</x:t>
  </x:si>
  <x:si>
    <x:t xml:space="preserve">Qual versão sustenta esta análise?</x:t>
  </x:si>
  <x:si>
    <x:t xml:space="preserve">P34</x:t>
  </x:si>
  <x:si>
    <x:t xml:space="preserve">Exemplo prático: versões em revisão.</x:t>
  </x:si>
  <x:si>
    <x:t xml:space="preserve">P35</x:t>
  </x:si>
  <x:si>
    <x:t xml:space="preserve">Checklist: versões em revisão.</x:t>
  </x:si>
  <x:si>
    <x:t xml:space="preserve">P36</x:t>
  </x:si>
  <x:si>
    <x:t xml:space="preserve">Onde você confere a versão antes de
revisar?</x:t>
  </x:si>
  <x:si>
    <x:t xml:space="preserve">P37</x:t>
  </x:si>
  <x:si>
    <x:t xml:space="preserve">A equipe consegue entender sua pendência?</x:t>
  </x:si>
  <x:si>
    <x:t xml:space="preserve">P38</x:t>
  </x:si>
  <x:si>
    <x:t xml:space="preserve">Exemplo prático: descrição de pendências.</x:t>
  </x:si>
  <x:si>
    <x:t xml:space="preserve">P39</x:t>
  </x:si>
  <x:si>
    <x:t xml:space="preserve">Checklist: descrição de pendências.</x:t>
  </x:si>
  <x:si>
    <x:t xml:space="preserve">P40</x:t>
  </x:si>
  <x:si>
    <x:t xml:space="preserve">Qual informação mais falta nas pendências
que você recebe?</x:t>
  </x:si>
  <x:si>
    <x:t xml:space="preserve">P41</x:t>
  </x:si>
  <x:si>
    <x:t xml:space="preserve">Por qual pendência começar?</x:t>
  </x:si>
  <x:si>
    <x:t xml:space="preserve">P42</x:t>
  </x:si>
  <x:si>
    <x:t xml:space="preserve">Exemplo prático: revisão por prioridade.</x:t>
  </x:si>
  <x:si>
    <x:t xml:space="preserve">P43</x:t>
  </x:si>
  <x:si>
    <x:t xml:space="preserve">Checklist: revisão por prioridade.</x:t>
  </x:si>
  <x:si>
    <x:t xml:space="preserve">P44</x:t>
  </x:si>
  <x:si>
    <x:t xml:space="preserve">O que define a prioridade de revisão na
sua equipe?</x:t>
  </x:si>
  <x:si>
    <x:t xml:space="preserve">P45</x:t>
  </x:si>
  <x:si>
    <x:t xml:space="preserve">O que falta para encerrar uma revisão?</x:t>
  </x:si>
  <x:si>
    <x:t xml:space="preserve">P46</x:t>
  </x:si>
  <x:si>
    <x:t xml:space="preserve">Exemplo prático: fechamento de
pendências.</x:t>
  </x:si>
  <x:si>
    <x:t xml:space="preserve">Envie REVISAO por mensagem</x:t>
  </x:si>
  <x:si>
    <x:t xml:space="preserve">P47</x:t>
  </x:si>
  <x:si>
    <x:t xml:space="preserve">Checklist: fechamento de pendências.</x:t>
  </x:si>
  <x:si>
    <x:t xml:space="preserve">P48</x:t>
  </x:si>
  <x:si>
    <x:t xml:space="preserve">Converse com a Arxis sobre fechamento de
pendências.</x:t>
  </x:si>
  <x:si>
    <x:t xml:space="preserve">P49</x:t>
  </x:si>
  <x:si>
    <x:t xml:space="preserve">O nome do arquivo ajuda a encontrar a
referência?</x:t>
  </x:si>
  <x:si>
    <x:t xml:space="preserve">P50</x:t>
  </x:si>
  <x:si>
    <x:t xml:space="preserve">Exemplo prático: nomes de arquivos.</x:t>
  </x:si>
  <x:si>
    <x:t xml:space="preserve">P51</x:t>
  </x:si>
  <x:si>
    <x:t xml:space="preserve">Checklist: nomes de arquivos.</x:t>
  </x:si>
  <x:si>
    <x:t xml:space="preserve">P52</x:t>
  </x:si>
  <x:si>
    <x:t xml:space="preserve">Qual informação não pode faltar no nome
de um arquivo?</x:t>
  </x:si>
  <x:si>
    <x:t xml:space="preserve">P53</x:t>
  </x:si>
  <x:si>
    <x:t xml:space="preserve">A decisão ficou documentada com contexto?</x:t>
  </x:si>
  <x:si>
    <x:t xml:space="preserve">P54</x:t>
  </x:si>
  <x:si>
    <x:t xml:space="preserve">Exemplo prático: registro de decisões.</x:t>
  </x:si>
  <x:si>
    <x:t xml:space="preserve">P55</x:t>
  </x:si>
  <x:si>
    <x:t xml:space="preserve">Checklist: registro de decisões.</x:t>
  </x:si>
  <x:si>
    <x:t xml:space="preserve">P56</x:t>
  </x:si>
  <x:si>
    <x:t xml:space="preserve">O que você registra além da conclusão de
uma reunião?</x:t>
  </x:si>
  <x:si>
    <x:t xml:space="preserve">P57</x:t>
  </x:si>
  <x:si>
    <x:t xml:space="preserve">Quem consulta, quem responde e quem
decide?</x:t>
  </x:si>
  <x:si>
    <x:t xml:space="preserve">P58</x:t>
  </x:si>
  <x:si>
    <x:t xml:space="preserve">Exemplo prático: responsabilidades na
revisão.</x:t>
  </x:si>
  <x:si>
    <x:t xml:space="preserve">P59</x:t>
  </x:si>
  <x:si>
    <x:t xml:space="preserve">Checklist: responsabilidades na revisão.</x:t>
  </x:si>
  <x:si>
    <x:t xml:space="preserve">P60</x:t>
  </x:si>
  <x:si>
    <x:t xml:space="preserve">Sua equipe distingue quem responde de
quem decide?</x:t>
  </x:si>
  <x:si>
    <x:t xml:space="preserve">P61</x:t>
  </x:si>
  <x:si>
    <x:t xml:space="preserve">A próxima pessoa recebeu o contexto
necessário?</x:t>
  </x:si>
  <x:si>
    <x:t xml:space="preserve">P62</x:t>
  </x:si>
  <x:si>
    <x:t xml:space="preserve">Exemplo prático: pacote de entrega.</x:t>
  </x:si>
  <x:si>
    <x:t xml:space="preserve">P63</x:t>
  </x:si>
  <x:si>
    <x:t xml:space="preserve">Checklist: pacote de entrega.</x:t>
  </x:si>
  <x:si>
    <x:t xml:space="preserve">P64</x:t>
  </x:si>
  <x:si>
    <x:t xml:space="preserve">Converse com a Arxis sobre pacote de
entrega.</x:t>
  </x:si>
  <x:si>
    <x:t xml:space="preserve">P65</x:t>
  </x:si>
  <x:si>
    <x:t xml:space="preserve">O que torna uma alternativa adequada?</x:t>
  </x:si>
  <x:si>
    <x:t xml:space="preserve">P66</x:t>
  </x:si>
  <x:si>
    <x:t xml:space="preserve">Exemplo prático: critérios de
alternativas.</x:t>
  </x:si>
  <x:si>
    <x:t xml:space="preserve">P67</x:t>
  </x:si>
  <x:si>
    <x:t xml:space="preserve">Checklist: critérios de alternativas.</x:t>
  </x:si>
  <x:si>
    <x:t xml:space="preserve">P68</x:t>
  </x:si>
  <x:si>
    <x:t xml:space="preserve">Qual critério costuma decidir entre duas
alternativas?</x:t>
  </x:si>
  <x:si>
    <x:t xml:space="preserve">P69</x:t>
  </x:si>
  <x:si>
    <x:t xml:space="preserve">Quais condições a alternativa precisa
respeitar?</x:t>
  </x:si>
  <x:si>
    <x:t xml:space="preserve">P70</x:t>
  </x:si>
  <x:si>
    <x:t xml:space="preserve">Exemplo prático: restrições de projeto.</x:t>
  </x:si>
  <x:si>
    <x:t xml:space="preserve">P71</x:t>
  </x:si>
  <x:si>
    <x:t xml:space="preserve">Checklist: restrições de projeto.</x:t>
  </x:si>
  <x:si>
    <x:t xml:space="preserve">P72</x:t>
  </x:si>
  <x:si>
    <x:t xml:space="preserve">Qual restrição costuma aparecer tarde na
discussão?</x:t>
  </x:si>
  <x:si>
    <x:t xml:space="preserve">P73</x:t>
  </x:si>
  <x:si>
    <x:t xml:space="preserve">A alternativa atende à rotina de quem
usa?</x:t>
  </x:si>
  <x:si>
    <x:t xml:space="preserve">P74</x:t>
  </x:si>
  <x:si>
    <x:t xml:space="preserve">Exemplo prático: uso dos espaços.</x:t>
  </x:si>
  <x:si>
    <x:t xml:space="preserve">P75</x:t>
  </x:si>
  <x:si>
    <x:t xml:space="preserve">Checklist: uso dos espaços.</x:t>
  </x:si>
  <x:si>
    <x:t xml:space="preserve">P76</x:t>
  </x:si>
  <x:si>
    <x:t xml:space="preserve">Quem participa da conversa sobre o uso do
ambiente?</x:t>
  </x:si>
  <x:si>
    <x:t xml:space="preserve">P77</x:t>
  </x:si>
  <x:si>
    <x:t xml:space="preserve">O que está sendo assumido nesta opção?</x:t>
  </x:si>
  <x:si>
    <x:t xml:space="preserve">P78</x:t>
  </x:si>
  <x:si>
    <x:t xml:space="preserve">Exemplo prático: premissas das
alternativas.</x:t>
  </x:si>
  <x:si>
    <x:t xml:space="preserve">Envie CENARIO por mensagem</x:t>
  </x:si>
  <x:si>
    <x:t xml:space="preserve">P79</x:t>
  </x:si>
  <x:si>
    <x:t xml:space="preserve">Checklist: premissas das alternativas.</x:t>
  </x:si>
  <x:si>
    <x:t xml:space="preserve">P80</x:t>
  </x:si>
  <x:si>
    <x:t xml:space="preserve">Converse com a Arxis sobre premissas das
alternativas.</x:t>
  </x:si>
  <x:si>
    <x:t xml:space="preserve">P81</x:t>
  </x:si>
  <x:si>
    <x:t xml:space="preserve">Qual informação a entrega precisa conter?</x:t>
  </x:si>
  <x:si>
    <x:t xml:space="preserve">P82</x:t>
  </x:si>
  <x:si>
    <x:t xml:space="preserve">Exemplo prático: requisitos de
informação.</x:t>
  </x:si>
  <x:si>
    <x:t xml:space="preserve">P83</x:t>
  </x:si>
  <x:si>
    <x:t xml:space="preserve">Checklist: requisitos de informação.</x:t>
  </x:si>
  <x:si>
    <x:t xml:space="preserve">P84</x:t>
  </x:si>
  <x:si>
    <x:t xml:space="preserve">Quem define os dados necessários no seu
projeto?</x:t>
  </x:si>
  <x:si>
    <x:t xml:space="preserve">P85</x:t>
  </x:si>
  <x:si>
    <x:t xml:space="preserve">Campo vazio e valor zero significam a
mesma coisa?</x:t>
  </x:si>
  <x:si>
    <x:t xml:space="preserve">P86</x:t>
  </x:si>
  <x:si>
    <x:t xml:space="preserve">Exemplo prático: campos sem
preenchimento.</x:t>
  </x:si>
  <x:si>
    <x:t xml:space="preserve">P87</x:t>
  </x:si>
  <x:si>
    <x:t xml:space="preserve">Checklist: campos sem preenchimento.</x:t>
  </x:si>
  <x:si>
    <x:t xml:space="preserve">P88</x:t>
  </x:si>
  <x:si>
    <x:t xml:space="preserve">Como vocês tratam um dado ainda não
informado?</x:t>
  </x:si>
  <x:si>
    <x:t xml:space="preserve">P89</x:t>
  </x:si>
  <x:si>
    <x:t xml:space="preserve">Este número representa exatamente o quê?</x:t>
  </x:si>
  <x:si>
    <x:t xml:space="preserve">P90</x:t>
  </x:si>
  <x:si>
    <x:t xml:space="preserve">Exemplo prático: unidades e significado.</x:t>
  </x:si>
  <x:si>
    <x:t xml:space="preserve">P91</x:t>
  </x:si>
  <x:si>
    <x:t xml:space="preserve">Checklist: unidades e significado.</x:t>
  </x:si>
  <x:si>
    <x:t xml:space="preserve">P92</x:t>
  </x:si>
  <x:si>
    <x:t xml:space="preserve">Qual confusão de unidade você já precisou
esclarecer?</x:t>
  </x:si>
  <x:si>
    <x:t xml:space="preserve">P93</x:t>
  </x:si>
  <x:si>
    <x:t xml:space="preserve">A equipe chama o mesmo elemento pelo
mesmo nome?</x:t>
  </x:si>
  <x:si>
    <x:t xml:space="preserve">P94</x:t>
  </x:si>
  <x:si>
    <x:t xml:space="preserve">Exemplo prático: classificação dos
elementos.</x:t>
  </x:si>
  <x:si>
    <x:t xml:space="preserve">Envie DADOS por mensagem</x:t>
  </x:si>
  <x:si>
    <x:t xml:space="preserve">P95</x:t>
  </x:si>
  <x:si>
    <x:t xml:space="preserve">Checklist: classificação dos elementos.</x:t>
  </x:si>
  <x:si>
    <x:t xml:space="preserve">P96</x:t>
  </x:si>
  <x:si>
    <x:t xml:space="preserve">Converse com a Arxis sobre classificação
dos elementos.</x:t>
  </x:si>
  <x:si>
    <x:t xml:space="preserve">P97</x:t>
  </x:si>
  <x:si>
    <x:t xml:space="preserve">O que conferir em uma troca com IFC?</x:t>
  </x:si>
  <x:si>
    <x:t xml:space="preserve">P98</x:t>
  </x:si>
  <x:si>
    <x:t xml:space="preserve">Exemplo prático: troca de modelos IFC.</x:t>
  </x:si>
  <x:si>
    <x:t xml:space="preserve">P99</x:t>
  </x:si>
  <x:si>
    <x:t xml:space="preserve">Checklist: troca de modelos IFC.</x:t>
  </x:si>
  <x:si>
    <x:t xml:space="preserve">P100</x:t>
  </x:si>
  <x:si>
    <x:t xml:space="preserve">O que você confere primeiro depois de
receber um IFC?</x:t>
  </x:si>
  <x:si>
    <x:t xml:space="preserve">P101</x:t>
  </x:si>
  <x:si>
    <x:t xml:space="preserve">Como levar uma dúvida com o contexto do
modelo?</x:t>
  </x:si>
  <x:si>
    <x:t xml:space="preserve">P102</x:t>
  </x:si>
  <x:si>
    <x:t xml:space="preserve">Exemplo prático: comunicação com BCF.</x:t>
  </x:si>
  <x:si>
    <x:t xml:space="preserve">P103</x:t>
  </x:si>
  <x:si>
    <x:t xml:space="preserve">Checklist: comunicação com BCF.</x:t>
  </x:si>
  <x:si>
    <x:t xml:space="preserve">P104</x:t>
  </x:si>
  <x:si>
    <x:t xml:space="preserve">Como você mantém a pergunta ligada ao
contexto do modelo?</x:t>
  </x:si>
  <x:si>
    <x:t xml:space="preserve">P105</x:t>
  </x:si>
  <x:si>
    <x:t xml:space="preserve">O que combinar antes de enviar um modelo?</x:t>
  </x:si>
  <x:si>
    <x:t xml:space="preserve">P106</x:t>
  </x:si>
  <x:si>
    <x:t xml:space="preserve">Exemplo prático: acordo de troca.</x:t>
  </x:si>
  <x:si>
    <x:t xml:space="preserve">P107</x:t>
  </x:si>
  <x:si>
    <x:t xml:space="preserve">Checklist: acordo de troca.</x:t>
  </x:si>
  <x:si>
    <x:t xml:space="preserve">P108</x:t>
  </x:si>
  <x:si>
    <x:t xml:space="preserve">Qual acordo evitaria uma nova rodada de
envio?</x:t>
  </x:si>
  <x:si>
    <x:t xml:space="preserve">P109</x:t>
  </x:si>
  <x:si>
    <x:t xml:space="preserve">O arquivo abriu. A entrega está completa?</x:t>
  </x:si>
  <x:si>
    <x:t xml:space="preserve">P110</x:t>
  </x:si>
  <x:si>
    <x:t xml:space="preserve">Exemplo prático: conferência do recebido.</x:t>
  </x:si>
  <x:si>
    <x:t xml:space="preserve">P111</x:t>
  </x:si>
  <x:si>
    <x:t xml:space="preserve">Checklist: conferência do recebido.</x:t>
  </x:si>
  <x:si>
    <x:t xml:space="preserve">P112</x:t>
  </x:si>
  <x:si>
    <x:t xml:space="preserve">Converse com a Arxis sobre conferência do
recebido.</x:t>
  </x:si>
  <x:si>
    <x:t xml:space="preserve">P113</x:t>
  </x:si>
  <x:si>
    <x:t xml:space="preserve">Qual etapa depende de outra decisão?</x:t>
  </x:si>
  <x:si>
    <x:t xml:space="preserve">P114</x:t>
  </x:si>
  <x:si>
    <x:t xml:space="preserve">Exemplo prático: sequência de execução.</x:t>
  </x:si>
  <x:si>
    <x:t xml:space="preserve">P115</x:t>
  </x:si>
  <x:si>
    <x:t xml:space="preserve">Checklist: sequência de execução.</x:t>
  </x:si>
  <x:si>
    <x:t xml:space="preserve">P116</x:t>
  </x:si>
  <x:si>
    <x:t xml:space="preserve">Qual dependência costuma passar
despercebida?</x:t>
  </x:si>
  <x:si>
    <x:t xml:space="preserve">P117</x:t>
  </x:si>
  <x:si>
    <x:t xml:space="preserve">Como os materiais chegam ao ponto de uso?</x:t>
  </x:si>
  <x:si>
    <x:t xml:space="preserve">P118</x:t>
  </x:si>
  <x:si>
    <x:t xml:space="preserve">Exemplo prático: acessos e logística.</x:t>
  </x:si>
  <x:si>
    <x:t xml:space="preserve">P119</x:t>
  </x:si>
  <x:si>
    <x:t xml:space="preserve">Checklist: acessos e logística.</x:t>
  </x:si>
  <x:si>
    <x:t xml:space="preserve">P120</x:t>
  </x:si>
  <x:si>
    <x:t xml:space="preserve">Qual informação de acesso faz falta no
planejamento?</x:t>
  </x:si>
  <x:si>
    <x:t xml:space="preserve">P121</x:t>
  </x:si>
  <x:si>
    <x:t xml:space="preserve">Quem precisa alinhar esta interface?</x:t>
  </x:si>
  <x:si>
    <x:t xml:space="preserve">P122</x:t>
  </x:si>
  <x:si>
    <x:t xml:space="preserve">Exemplo prático: interfaces de execução.</x:t>
  </x:si>
  <x:si>
    <x:t xml:space="preserve">P123</x:t>
  </x:si>
  <x:si>
    <x:t xml:space="preserve">Checklist: interfaces de execução.</x:t>
  </x:si>
  <x:si>
    <x:t xml:space="preserve">P124</x:t>
  </x:si>
  <x:si>
    <x:t xml:space="preserve">Em qual interface sua equipe mais precisa
se alinhar?</x:t>
  </x:si>
  <x:si>
    <x:t xml:space="preserve">P125</x:t>
  </x:si>
  <x:si>
    <x:t xml:space="preserve">A quantidade se refere a qual conjunto de
elementos?</x:t>
  </x:si>
  <x:si>
    <x:t xml:space="preserve">P126</x:t>
  </x:si>
  <x:si>
    <x:t xml:space="preserve">Exemplo prático: quantidades e escopo.</x:t>
  </x:si>
  <x:si>
    <x:t xml:space="preserve">P127</x:t>
  </x:si>
  <x:si>
    <x:t xml:space="preserve">Checklist: quantidades e escopo.</x:t>
  </x:si>
  <x:si>
    <x:t xml:space="preserve">P128</x:t>
  </x:si>
  <x:si>
    <x:t xml:space="preserve">Converse com a Arxis sobre quantidades e
escopo.</x:t>
  </x:si>
  <x:si>
    <x:t xml:space="preserve">P129</x:t>
  </x:si>
  <x:si>
    <x:t xml:space="preserve">A apresentação responde à dúvida do
cliente?</x:t>
  </x:si>
  <x:si>
    <x:t xml:space="preserve">P130</x:t>
  </x:si>
  <x:si>
    <x:t xml:space="preserve">Exemplo prático: apresentação ao cliente.</x:t>
  </x:si>
  <x:si>
    <x:t xml:space="preserve">P131</x:t>
  </x:si>
  <x:si>
    <x:t xml:space="preserve">Checklist: apresentação ao cliente.</x:t>
  </x:si>
  <x:si>
    <x:t xml:space="preserve">P132</x:t>
  </x:si>
  <x:si>
    <x:t xml:space="preserve">Qual dúvida você ouve mais durante uma
apresentação?</x:t>
  </x:si>
  <x:si>
    <x:t xml:space="preserve">P133</x:t>
  </x:si>
  <x:si>
    <x:t xml:space="preserve">A mesma imagem responde a todas as
pessoas?</x:t>
  </x:si>
  <x:si>
    <x:t xml:space="preserve">P134</x:t>
  </x:si>
  <x:si>
    <x:t xml:space="preserve">Exemplo prático: pontos de vista da
equipe.</x:t>
  </x:si>
  <x:si>
    <x:t xml:space="preserve">P135</x:t>
  </x:si>
  <x:si>
    <x:t xml:space="preserve">Checklist: pontos de vista da equipe.</x:t>
  </x:si>
  <x:si>
    <x:t xml:space="preserve">P136</x:t>
  </x:si>
  <x:si>
    <x:t xml:space="preserve">Quem precisa de outro recorte para
entender a análise?</x:t>
  </x:si>
  <x:si>
    <x:t xml:space="preserve">P137</x:t>
  </x:si>
  <x:si>
    <x:t xml:space="preserve">Com o que a equipe deve sair desta
reunião?</x:t>
  </x:si>
  <x:si>
    <x:t xml:space="preserve">P138</x:t>
  </x:si>
  <x:si>
    <x:t xml:space="preserve">Exemplo prático: reunião com decisão
clara.</x:t>
  </x:si>
  <x:si>
    <x:t xml:space="preserve">P139</x:t>
  </x:si>
  <x:si>
    <x:t xml:space="preserve">Checklist: reunião com decisão clara.</x:t>
  </x:si>
  <x:si>
    <x:t xml:space="preserve">P140</x:t>
  </x:si>
  <x:si>
    <x:t xml:space="preserve">Como vocês registram o que ficou para
depois?</x:t>
  </x:si>
  <x:si>
    <x:t xml:space="preserve">P141</x:t>
  </x:si>
  <x:si>
    <x:t xml:space="preserve">Como levar uma observação da obra para a
revisão?</x:t>
  </x:si>
  <x:si>
    <x:t xml:space="preserve">P142</x:t>
  </x:si>
  <x:si>
    <x:t xml:space="preserve">Exemplo prático: observações de campo.</x:t>
  </x:si>
  <x:si>
    <x:t xml:space="preserve">P143</x:t>
  </x:si>
  <x:si>
    <x:t xml:space="preserve">Checklist: observações de campo.</x:t>
  </x:si>
  <x:si>
    <x:t xml:space="preserve">P144</x:t>
  </x:si>
  <x:si>
    <x:t xml:space="preserve">Converse com a Arxis sobre observações de
campo.</x:t>
  </x:si>
  <x:si>
    <x:t xml:space="preserve">P145</x:t>
  </x:si>
  <x:si>
    <x:t xml:space="preserve">Qual fluxo cabe em um primeiro
experimento?</x:t>
  </x:si>
  <x:si>
    <x:t xml:space="preserve">P146</x:t>
  </x:si>
  <x:si>
    <x:t xml:space="preserve">Exemplo prático: escolha de piloto.</x:t>
  </x:si>
  <x:si>
    <x:t xml:space="preserve">P147</x:t>
  </x:si>
  <x:si>
    <x:t xml:space="preserve">Checklist: escolha de piloto.</x:t>
  </x:si>
  <x:si>
    <x:t xml:space="preserve">P148</x:t>
  </x:si>
  <x:si>
    <x:t xml:space="preserve">Qual tarefa da sua equipe poderia virar
um piloto?</x:t>
  </x:si>
  <x:si>
    <x:t xml:space="preserve">P149</x:t>
  </x:si>
  <x:si>
    <x:t xml:space="preserve">O treinamento começa por qual tarefa?</x:t>
  </x:si>
  <x:si>
    <x:t xml:space="preserve">P150</x:t>
  </x:si>
  <x:si>
    <x:t xml:space="preserve">Exemplo prático: aprendizado da equipe.</x:t>
  </x:si>
  <x:si>
    <x:t xml:space="preserve">P151</x:t>
  </x:si>
  <x:si>
    <x:t xml:space="preserve">Checklist: aprendizado da equipe.</x:t>
  </x:si>
  <x:si>
    <x:t xml:space="preserve">P152</x:t>
  </x:si>
  <x:si>
    <x:t xml:space="preserve">Qual tarefa você gostaria de praticar com
sua equipe?</x:t>
  </x:si>
  <x:si>
    <x:t xml:space="preserve">P153</x:t>
  </x:si>
  <x:si>
    <x:t xml:space="preserve">Como saber se o novo fluxo ajudou?</x:t>
  </x:si>
  <x:si>
    <x:t xml:space="preserve">P154</x:t>
  </x:si>
  <x:si>
    <x:t xml:space="preserve">Exemplo prático: critérios de sucesso.</x:t>
  </x:si>
  <x:si>
    <x:t xml:space="preserve">P155</x:t>
  </x:si>
  <x:si>
    <x:t xml:space="preserve">Checklist: critérios de sucesso.</x:t>
  </x:si>
  <x:si>
    <x:t xml:space="preserve">P156</x:t>
  </x:si>
  <x:si>
    <x:t xml:space="preserve">O que você mediria em um teste de fluxo?</x:t>
  </x:si>
  <x:si>
    <x:t xml:space="preserve">P157</x:t>
  </x:si>
  <x:si>
    <x:t xml:space="preserve">O teste representa a rotina de uso?</x:t>
  </x:si>
  <x:si>
    <x:t xml:space="preserve">P158</x:t>
  </x:si>
  <x:si>
    <x:t xml:space="preserve">Exemplo prático: avaliação de
ferramentas.</x:t>
  </x:si>
  <x:si>
    <x:t xml:space="preserve">P159</x:t>
  </x:si>
  <x:si>
    <x:t xml:space="preserve">Checklist: avaliação de ferramentas.</x:t>
  </x:si>
  <x:si>
    <x:t xml:space="preserve">P160</x:t>
  </x:si>
  <x:si>
    <x:t xml:space="preserve">Converse com a Arxis sobre avaliação de
ferramentas.</x:t>
  </x:si>
  <x:si>
    <x:t xml:space="preserve">P161</x:t>
  </x:si>
  <x:si>
    <x:t xml:space="preserve">A entrega pode ser entendida por quem vai
recebê-la?</x:t>
  </x:si>
  <x:si>
    <x:t xml:space="preserve">P162</x:t>
  </x:si>
  <x:si>
    <x:t xml:space="preserve">Exemplo prático: preparação da entrega
final.</x:t>
  </x:si>
  <x:si>
    <x:t xml:space="preserve">P163</x:t>
  </x:si>
  <x:si>
    <x:t xml:space="preserve">Checklist: preparação da entrega final.</x:t>
  </x:si>
  <x:si>
    <x:t xml:space="preserve">P164</x:t>
  </x:si>
  <x:si>
    <x:t xml:space="preserve">Quem participa da conferência da entrega
final?</x:t>
  </x:si>
  <x:si>
    <x:t xml:space="preserve">P165</x:t>
  </x:si>
  <x:si>
    <x:t xml:space="preserve">Como registrar uma diferença observada na
execução?</x:t>
  </x:si>
  <x:si>
    <x:t xml:space="preserve">P166</x:t>
  </x:si>
  <x:si>
    <x:t xml:space="preserve">Exemplo prático: registro do executado.</x:t>
  </x:si>
  <x:si>
    <x:t xml:space="preserve">P167</x:t>
  </x:si>
  <x:si>
    <x:t xml:space="preserve">Checklist: registro do executado.</x:t>
  </x:si>
  <x:si>
    <x:t xml:space="preserve">P168</x:t>
  </x:si>
  <x:si>
    <x:t xml:space="preserve">Como sua equipe encaminha diferenças
observadas em campo?</x:t>
  </x:si>
  <x:si>
    <x:t xml:space="preserve">P169</x:t>
  </x:si>
  <x:si>
    <x:t xml:space="preserve">Que dado será útil depois da obra?</x:t>
  </x:si>
  <x:si>
    <x:t xml:space="preserve">P170</x:t>
  </x:si>
  <x:si>
    <x:t xml:space="preserve">Exemplo prático: informação para
operação.</x:t>
  </x:si>
  <x:si>
    <x:t xml:space="preserve">P171</x:t>
  </x:si>
  <x:si>
    <x:t xml:space="preserve">Checklist: informação para operação.</x:t>
  </x:si>
  <x:si>
    <x:t xml:space="preserve">P172</x:t>
  </x:si>
  <x:si>
    <x:t xml:space="preserve">Qual informação você gostaria de receber
para operar o ativo?</x:t>
  </x:si>
  <x:si>
    <x:t xml:space="preserve">P173</x:t>
  </x:si>
  <x:si>
    <x:t xml:space="preserve">É possível encontrar a referência quando
ela é necessária?</x:t>
  </x:si>
  <x:si>
    <x:t xml:space="preserve">P174</x:t>
  </x:si>
  <x:si>
    <x:t xml:space="preserve">Exemplo prático: localização de
documentos.</x:t>
  </x:si>
  <x:si>
    <x:t xml:space="preserve">Envie ENTREGA por mensagem</x:t>
  </x:si>
  <x:si>
    <x:t xml:space="preserve">P175</x:t>
  </x:si>
  <x:si>
    <x:t xml:space="preserve">Checklist: localização de documentos.</x:t>
  </x:si>
  <x:si>
    <x:t xml:space="preserve">P176</x:t>
  </x:si>
  <x:si>
    <x:t xml:space="preserve">Converse com a Arxis sobre localização de
documentos.</x:t>
  </x:si>
  <x:si>
    <x:t xml:space="preserve">P177</x:t>
  </x:si>
  <x:si>
    <x:t xml:space="preserve">O que merece virar um acordo para o
próximo projeto?</x:t>
  </x:si>
  <x:si>
    <x:t xml:space="preserve">P178</x:t>
  </x:si>
  <x:si>
    <x:t xml:space="preserve">Exemplo prático: lições aprendidas.</x:t>
  </x:si>
  <x:si>
    <x:t xml:space="preserve">P179</x:t>
  </x:si>
  <x:si>
    <x:t xml:space="preserve">Checklist: lições aprendidas.</x:t>
  </x:si>
  <x:si>
    <x:t xml:space="preserve">P180</x:t>
  </x:si>
  <x:si>
    <x:t xml:space="preserve">Qual aprendizado você levaria para o
próximo projeto?</x:t>
  </x:si>
  <x:si>
    <x:t xml:space="preserve">P181</x:t>
  </x:si>
  <x:si>
    <x:t xml:space="preserve">O padrão combinado ainda atende à rotina?</x:t>
  </x:si>
  <x:si>
    <x:t xml:space="preserve">P182</x:t>
  </x:si>
  <x:si>
    <x:t xml:space="preserve">Exemplo prático: revisão dos acordos.</x:t>
  </x:si>
  <x:si>
    <x:t xml:space="preserve">P183</x:t>
  </x:si>
  <x:si>
    <x:t xml:space="preserve">Checklist: revisão dos acordos.</x:t>
  </x:si>
  <x:si>
    <x:t xml:space="preserve">P184</x:t>
  </x:si>
  <x:si>
    <x:t xml:space="preserve">Qual acordo da sua equipe precisa ser
revisto?</x:t>
  </x:si>
  <x:si>
    <x:t xml:space="preserve">P185</x:t>
  </x:si>
  <x:si>
    <x:t xml:space="preserve">Como contar um resultado com contexto?</x:t>
  </x:si>
  <x:si>
    <x:t xml:space="preserve">P186</x:t>
  </x:si>
  <x:si>
    <x:t xml:space="preserve">Exemplo prático: evidências de resultado.</x:t>
  </x:si>
  <x:si>
    <x:t xml:space="preserve">P187</x:t>
  </x:si>
  <x:si>
    <x:t xml:space="preserve">Checklist: evidências de resultado.</x:t>
  </x:si>
  <x:si>
    <x:t xml:space="preserve">P188</x:t>
  </x:si>
  <x:si>
    <x:t xml:space="preserve">Que evidência torna um caso útil para
você?</x:t>
  </x:si>
  <x:si>
    <x:t xml:space="preserve">P189</x:t>
  </x:si>
  <x:si>
    <x:t xml:space="preserve">Quais dúvidas merecem uma resposta
permanente?</x:t>
  </x:si>
  <x:si>
    <x:t xml:space="preserve">P190</x:t>
  </x:si>
  <x:si>
    <x:t xml:space="preserve">Exemplo prático: perguntas recorrentes.</x:t>
  </x:si>
  <x:si>
    <x:t xml:space="preserve">Envie BIM por mensagem</x:t>
  </x:si>
  <x:si>
    <x:t xml:space="preserve">P191</x:t>
  </x:si>
  <x:si>
    <x:t xml:space="preserve">Checklist: perguntas recorrentes.</x:t>
  </x:si>
  <x:si>
    <x:t xml:space="preserve">P192</x:t>
  </x:si>
  <x:si>
    <x:t xml:space="preserve">Converse com a Arxis sobre perguntas
recorrentes.</x:t>
  </x:si>
  <x:si>
    <x:t xml:space="preserve">P193</x:t>
  </x:si>
  <x:si>
    <x:t xml:space="preserve">Qual sequência ajuda sua equipe a revisar
melhor?</x:t>
  </x:si>
  <x:si>
    <x:t xml:space="preserve">P194</x:t>
  </x:si>
  <x:si>
    <x:t xml:space="preserve">Exemplo prático: uma rotina para revisar.</x:t>
  </x:si>
  <x:si>
    <x:t xml:space="preserve">P195</x:t>
  </x:si>
  <x:si>
    <x:t xml:space="preserve">Checklist: uma rotina para revisar.</x:t>
  </x:si>
  <x:si>
    <x:t xml:space="preserve">P196</x:t>
  </x:si>
  <x:si>
    <x:t xml:space="preserve">Qual etapa do seu fluxo merece mais
atenção?</x:t>
  </x:si>
  <x:si>
    <x:t xml:space="preserve">P197</x:t>
  </x:si>
  <x:si>
    <x:t xml:space="preserve">O que contar para avaliar a Arxis no seu
contexto?</x:t>
  </x:si>
  <x:si>
    <x:t xml:space="preserve">P198</x:t>
  </x:si>
  <x:si>
    <x:t xml:space="preserve">Exemplo prático: contexto para conversar
com a Arxis.</x:t>
  </x:si>
  <x:si>
    <x:t xml:space="preserve">P199</x:t>
  </x:si>
  <x:si>
    <x:t xml:space="preserve">Checklist: contexto para conversar com a
Arxis.</x:t>
  </x:si>
  <x:si>
    <x:t xml:space="preserve">P200</x:t>
  </x:si>
  <x:si>
    <x:t xml:space="preserve">Qual desafio você quer conversar com a
Arxis?</x:t>
  </x:si>
  <x:si>
    <x:t xml:space="preserve">P201</x:t>
  </x:si>
  <x:si>
    <x:t xml:space="preserve">Qual melhoria faz sentido depois do
primeiro passo?</x:t>
  </x:si>
  <x:si>
    <x:t xml:space="preserve">P202</x:t>
  </x:si>
  <x:si>
    <x:t xml:space="preserve">Exemplo prático: escolha do próximo
avanço.</x:t>
  </x:si>
  <x:si>
    <x:t xml:space="preserve">P203</x:t>
  </x:si>
  <x:si>
    <x:t xml:space="preserve">Checklist: escolha do próximo avanço.</x:t>
  </x:si>
  <x:si>
    <x:t xml:space="preserve">P204</x:t>
  </x:si>
  <x:si>
    <x:t xml:space="preserve">Qual será o próximo passo da sua equipe?</x:t>
  </x:si>
  <x:si>
    <x:t xml:space="preserve">P205</x:t>
  </x:si>
  <x:si>
    <x:t xml:space="preserve">O que sua equipe quer entender melhor
daqui para frente?</x:t>
  </x:si>
  <x:si>
    <x:t xml:space="preserve">P206</x:t>
  </x:si>
  <x:si>
    <x:t xml:space="preserve">Exemplo prático: próximas dúvidas de
projeto.</x:t>
  </x:si>
  <x:si>
    <x:t xml:space="preserve">Roteiros: localize o mesmo ID para copiar legendas (Instagram, Facebook, LinkedIn e TikTok/Shorts), montar carrosséis e gravar vídeos.</x:t>
  </x:si>
  <x:si>
    <x:t xml:space="preserve">Distribuição: carrossel vira PDF nativo no LinkedIn; Reel vai como está para TikTok, YouTube Shorts e LinkedIn. Toda chamada para ação converge para mensagem e WhatsApp.</x:t>
  </x:si>
  <x:si>
    <x:t xml:space="preserve">Arxis · Roteiros e legendas para 360 dias</x:t>
  </x:si>
  <x:si>
    <x:t xml:space="preserve">206 pautas. Filtre pelo ID para acessar texto da arte, roteiro, orientação visual e legendas de cada rede: Instagram, Facebook, LinkedIn e, nos Reels, TikTok / YouTube Shorts.</x:t>
  </x:si>
  <x:si>
    <x:t xml:space="preserve">O primeiro mês foi preservado. Novos exemplos são didáticos; telas e ofertas devem refletir o produto na data de publicação.</x:t>
  </x:si>
  <x:si>
    <x:t xml:space="preserve">Bloco</x:t>
  </x:si>
  <x:si>
    <x:t xml:space="preserve">Conteúdo</x:t>
  </x:si>
  <x:si>
    <x:t xml:space="preserve">Título da arte</x:t>
  </x:si>
  <x:si>
    <x:t xml:space="preserve">Visualize.
Analise.
Decida.</x:t>
  </x:si>
  <x:si>
    <x:t xml:space="preserve">Roteiro</x:t>
  </x:si>
  <x:si>
    <x:t xml:space="preserve">Peça única. Título em três linhas. Apoio: Tecnologia para projetos mais inteligentes. Rodapé: @arxis.bim. Esta será uma das publicações de apresentação para manter em destaque no perfil.</x:t>
  </x:si>
  <x:si>
    <x:t xml:space="preserve">Direção visual</x:t>
  </x:si>
  <x:si>
    <x:t xml:space="preserve">Usar a referência com fachada e fundo claro. Logo no alto, arquitetura à direita e laranja apenas em pontos e linha de apoio. Reduzir os textos secundários para leitura no celular.</x:t>
  </x:si>
  <x:si>
    <x:t xml:space="preserve">Legenda Instagram</x:t>
  </x:si>
  <x:si>
    <x:t xml:space="preserve">Prazer, somos a Arxis.
BIM e construção digital com foco nas informações que ajudam você a entender um projeto e tomar decisões. Por aqui, vamos conversar sobre modelos, dados, alternativas e os desafios de quem projeta e constrói.
Tecnologia para projetos mais inteligentes. Visualize. Analise. Decida.
Siga @arxis.bim e acompanhe essa jornada.
#Arxis #BIM #ConstrucaoDigital</x:t>
  </x:si>
  <x:si>
    <x:t xml:space="preserve">Legenda Facebook</x:t>
  </x:si>
  <x:si>
    <x:t xml:space="preserve">Conheça a Arxis: BIM e construção digital para quem quer entender melhor seus projetos e tomar decisões com mais clareza.
Nesta página, vamos compartilhar conceitos, exemplos e conversas sobre o dia a dia de quem projeta e constrói.
Acompanhe a Arxis. Visualize. Analise. Decida.</x:t>
  </x:si>
  <x:si>
    <x:t xml:space="preserve">Legenda LinkedIn</x:t>
  </x:si>
  <x:si>
    <x:t xml:space="preserve">Conheça a Arxis: BIM e construção digital para quem quer entender melhor seus projetos e tomar decisões com mais clareza.
Por aqui, vamos compartilhar conceitos, exemplos e conversas sobre o dia a dia de quem projeta e constrói.
Acompanhe a Arxis. Visualize. Analise. Decida.
#BIM #ConstrucaoDigital #Engenharia #Arxis</x:t>
  </x:si>
  <x:si>
    <x:t xml:space="preserve">Produção</x:t>
  </x:si>
  <x:si>
    <x:t xml:space="preserve">Adaptar a arte de apresentação fornecida. Usar a marca original. Não copiar telefone, e-mail ou domínio ilustrativos dos cartões de visita.</x:t>
  </x:si>
  <x:si>
    <x:t xml:space="preserve">O que existe
por trás de um modelo?</x:t>
  </x:si>
  <x:si>
    <x:t xml:space="preserve">0 a 3 s: mostrar uma parede no modelo e perguntar: O que você precisa saber sobre ela?
3 a 10 s: destacar geometria, material e identificação em cartões simples.
10 a 22 s: narrar: BIM envolve criar e gerenciar informações da construção. O modelo ajuda a dar contexto a esses dados.
22 a 30 s: fechar com: Qual informação faz diferença no seu trabalho? Salve este vídeo.</x:t>
  </x:si>
  <x:si>
    <x:t xml:space="preserve">Animação didática com um único elemento e rótulos legíveis. Fundo branco, elemento azul e destaques laranja. Identificar o material como exemplo ilustrativo. Legendar a fala.</x:t>
  </x:si>
  <x:si>
    <x:t xml:space="preserve">Uma parede pode ser representada pela sua forma e por informações como identificação e material.
BIM envolve criar e gerenciar informações da construção ao longo do seu ciclo de vida. O valor do exemplo está em relacionar o elemento ao que a equipe precisa saber.
Qual informação você consulta primeiro em um projeto? Salve este vídeo para voltar ao conceito.
#Arxis #BIM #Engenharia</x:t>
  </x:si>
  <x:si>
    <x:t xml:space="preserve">O que há por trás de um modelo BIM?
Além da forma, um elemento pode ter dados que ajudam a equipe a entender o projeto. Neste exemplo ilustrativo, mostramos identificação e material de uma parede.
Qual informação costuma fazer falta na sua rotina?</x:t>
  </x:si>
  <x:si>
    <x:t xml:space="preserve">O que há por trás de um modelo BIM?
Além da forma, um elemento pode ter dados que ajudam a equipe a entender o projeto. Neste exemplo ilustrativo, mostramos identificação e material de uma parede.
Qual informação costuma fazer falta na sua rotina?
#BIM #ConstrucaoDigital #Engenharia #Arxis</x:t>
  </x:si>
  <x:si>
    <x:t xml:space="preserve">Descrição TikTok / Shorts</x:t>
  </x:si>
  <x:si>
    <x:t xml:space="preserve">O que existe
por trás de um modelo?
Uma parede pode ser representada pela sua forma e por informações como identificação e material.
#BIM #Engenharia #Arquitetura #ConstrucaoDigital #Arxis</x:t>
  </x:si>
  <x:si>
    <x:t xml:space="preserve">Produzir uma animação conceitual. Não apresentar os cartões como interface ou função disponível da Arxis. Referência técnica: Autodesk, What is BIM.</x:t>
  </x:si>
  <x:si>
    <x:t xml:space="preserve">O modelo que você vê.
A informação que precisa.</x:t>
  </x:si>
  <x:si>
    <x:t xml:space="preserve">1. Capa.
2. Geometria: o que está representado?
3. Identificação: qual é o elemento?
4. Propriedades: quais dados foram preenchidos?
5. Contexto: qual versão e finalidade do modelo?
6. Fecho: antes de decidir, confira a informação que sustenta a leitura. Salve este checklist.</x:t>
  </x:si>
  <x:si>
    <x:t xml:space="preserve">Seis páginas. Uma pergunta por página. Repetir o mesmo elemento de exemplo com poucos rótulos, mantendo o título sempre na mesma posição.</x:t>
  </x:si>
  <x:si>
    <x:t xml:space="preserve">Antes de usar um modelo para uma decisão, vale conferir quatro pontos: geometria, identificação, propriedades e contexto.
Os dados disponíveis dependem de como o modelo foi preparado e do que foi exigido para aquela entrega. Use as perguntas deste carrossel na sua próxima revisão.
Salve o checklist e compartilhe com quem participa da análise.
#Arxis #BIM #Projetos</x:t>
  </x:si>
  <x:si>
    <x:t xml:space="preserve">Na próxima revisão de um modelo, confira: o que está representado, como os elementos são identificados, quais propriedades estão preenchidas e qual versão está em uso.
As imagens trazem quatro perguntas para orientar essa conversa. Qual delas sua equipe já usa?</x:t>
  </x:si>
  <x:si>
    <x:t xml:space="preserve">Na próxima revisão de um modelo, confira: o que está representado, como os elementos são identificados, quais propriedades estão preenchidas e qual versão está em uso.
As imagens trazem quatro perguntas para orientar essa conversa. Qual delas sua equipe já usa?
#BIM #ConstrucaoDigital #Engenharia #Arxis</x:t>
  </x:si>
  <x:si>
    <x:t xml:space="preserve">Seis imagens numeradas. No Facebook, publicar a sequência como post com várias imagens e incluir a ideia central na legenda. Modelo ilustrativo, sem dados de clientes.</x:t>
  </x:si>
  <x:si>
    <x:t xml:space="preserve">Onde seu projeto
perde clareza?</x:t>
  </x:si>
  <x:si>
    <x:t xml:space="preserve">Peça única com a pergunta principal. Apoio curto: Versões, informações ou comunicação? A conversa continua na legenda.</x:t>
  </x:si>
  <x:si>
    <x:t xml:space="preserve">Composição tipográfica em fundo branco. Três termos em linhas curtas. Símbolo pequeno e um detalhe laranja. Não usar outro prédio como elemento principal.</x:t>
  </x:si>
  <x:si>
    <x:t xml:space="preserve">Na sua rotina, o que mais atrapalha o entendimento de um projeto?
Encontrar a versão certa, localizar uma informação ou alinhar a equipe?
Conte uma situação nos comentários, sem expor dados do projeto. As respostas vão orientar os próximos conteúdos da Arxis.
#Arxis #GestaoDeProjetos #ConstrucaoDigital</x:t>
  </x:si>
  <x:si>
    <x:t xml:space="preserve">Qual é o maior gargalo na sua rotina de projetos: versões, informações ou comunicação?
Conte uma situação que você gostaria de resolver. Vamos usar as dúvidas recebidas para escolher os próximos temas da página.</x:t>
  </x:si>
  <x:si>
    <x:t xml:space="preserve">Qual é o maior gargalo na sua rotina de projetos: versões, informações ou comunicação?
Conte uma situação que você gostaria de resolver. Vamos usar as dúvidas recebidas para escolher os próximos temas do perfil.
#BIM #ConstrucaoDigital #Engenharia #Arxis</x:t>
  </x:si>
  <x:si>
    <x:t xml:space="preserve">Criar card simples. Reservar um momento após a publicação para responder aos comentários. Não usar respostas futuras como depoimentos de clientes.</x:t>
  </x:si>
  <x:si>
    <x:t xml:space="preserve">Vai aprovar uma alteração?
Confira estes 5 pontos.</x:t>
  </x:si>
  <x:si>
    <x:t xml:space="preserve">1. Capa.
2. O que mudou? Identifique o elemento ou escopo.
3. Por que mudou? Registre o motivo.
4. Quem precisa avaliar? Envolva as disciplinas afetadas.
5. Qual versão está em análise? Confirme a referência.
6. Quem decide e até quando? Defina responsável e prazo.
7. Fecho: leve estas perguntas à próxima revisão.</x:t>
  </x:si>
  <x:si>
    <x:t xml:space="preserve">Sete páginas, fundo claro, números grandes em azul e perguntas em marinho. Usar exemplo de alteração de posição de uma porta, sem simular cálculos ou resultados.</x:t>
  </x:si>
  <x:si>
    <x:t xml:space="preserve">Uma alteração de projeto merece uma conversa com contexto.
Antes de aprovar, registre o que mudou, o motivo, quem precisa avaliar, a versão em análise e quem decide. Esse roteiro ajuda a organizar a revisão e explicitar o que ainda falta.
Envie para a equipe e use na próxima reunião.
#Arxis #CoordenacaoDeProjetos #BIM</x:t>
  </x:si>
  <x:si>
    <x:t xml:space="preserve">Cinco perguntas para a próxima alteração de projeto: o que mudou, por que mudou, quem precisa avaliar, qual versão está em análise e quem decide.
Use o roteiro das imagens como apoio à revisão da equipe. Qual pergunta você acrescentaria?</x:t>
  </x:si>
  <x:si>
    <x:t xml:space="preserve">Cinco perguntas para a próxima alteração de projeto: o que mudou, por que mudou, quem precisa avaliar, qual versão está em análise e quem decide.
Use o roteiro das imagens como apoio à revisão da equipe. Qual pergunta você acrescentaria?
#BIM #ConstrucaoDigital #Engenharia #Arxis</x:t>
  </x:si>
  <x:si>
    <x:t xml:space="preserve">Sete imagens numeradas. Conteúdo de método de trabalho, sem atribuir aprovação automática, rastreabilidade ou notificações à plataforma.</x:t>
  </x:si>
  <x:si>
    <x:t xml:space="preserve">Do conjunto
ao detalhe.</x:t>
  </x:si>
  <x:si>
    <x:t xml:space="preserve">0 a 3 s: pergunta: Você consegue localizar o detalhe que precisa analisar?
3 a 10 s: mostrar uma visão geral no viewer real da Arxis.
10 a 22 s: navegar até um elemento e mostrar apenas a seleção ou informação que estiver funcionando na versão gravada.
22 a 30 s: retomar a pergunta inicial e convidar a enviar MODELO por mensagem.
Alternativa sem gravação: narrar sobre duas imagens didáticas, visão geral e detalhe, identificadas como exemplo ilustrativo.</x:t>
  </x:si>
  <x:si>
    <x:t xml:space="preserve">Gravação de tela com zoom de edição suficiente para leitura no celular. Recortar um fluxo completo. Manter proporção do modelo e usar setas discretas. Legendas visíveis.</x:t>
  </x:si>
  <x:si>
    <x:t xml:space="preserve">Quando a dúvida está em um detalhe, comece localizando esse elemento no conjunto e confirme o contexto da análise.
Neste vídeo, seguimos esse caminho para mostrar como uma pergunta objetiva orienta a leitura de um modelo.
Quer conversar sobre a visualização de projetos na Arxis? Envie MODELO por mensagem.
#Arxis #BIM #VisualizacaoDeProjetos</x:t>
  </x:si>
  <x:si>
    <x:t xml:space="preserve">Do conjunto ao detalhe: uma pergunta bem definida ajuda a orientar a leitura de um modelo.
O exemplo mostra o caminho até o elemento em análise. Para conversar sobre visualização de projetos na Arxis, envie MODELO por mensagem à página.</x:t>
  </x:si>
  <x:si>
    <x:t xml:space="preserve">Do conjunto ao detalhe: uma pergunta bem definida ajuda a orientar a leitura de um modelo.
O exemplo mostra o caminho até o elemento em análise. Para conversar sobre visualização de projetos na Arxis, envie MODELO por mensagem aqui no LinkedIn.
#BIM #ConstrucaoDigital #Engenharia #Arxis</x:t>
  </x:si>
  <x:si>
    <x:t xml:space="preserve">Do conjunto
ao detalhe.
Quando a dúvida está em um detalhe, comece localizando esse elemento no conjunto e confirme o contexto da análise.
#BIM #Engenharia #Arquitetura #ConstrucaoDigital #Arxis</x:t>
  </x:si>
  <x:si>
    <x:t xml:space="preserve">Depende de gravação real e da confirmação das ações exibidas. Se indisponível, usar a alternativa didática descrita no roteiro, sem moldura de aplicativo. Não simular painel de propriedades nem prometer desempenho.</x:t>
  </x:si>
  <x:si>
    <x:t xml:space="preserve">Sua próxima reunião
pode começar por aqui.</x:t>
  </x:si>
  <x:si>
    <x:t xml:space="preserve">1. Capa: 7 itens para revisar.
2. Defina o objetivo e a versão do projeto.
3. Liste as dúvidas e leve as referências.
4. Convide quem precisa decidir.
5. Registre decisões e responsáveis.
6. Confirme os próximos passos e prazos.
7. Checklist final: objetivo, versão, dúvidas, referências, participantes, decisões, próximos passos.</x:t>
  </x:si>
  <x:si>
    <x:t xml:space="preserve">Sete páginas em template de checklist. Usar caixas de seleção desenhadas e frases curtas. Na última página, reunir os sete itens em leitura vertical.</x:t>
  </x:si>
  <x:si>
    <x:t xml:space="preserve">Antes da reunião, combine o objetivo, a versão do projeto e as dúvidas que precisam de resposta.
Durante a conversa, tenha as referências à mão, envolva quem decide e registre o que foi combinado. No final, confirme responsáveis e próximos passos.
O checklist completo está na última página. Salve para sua próxima reunião.
#Arxis #GestaoDeProjetos #Engenharia</x:t>
  </x:si>
  <x:si>
    <x:t xml:space="preserve">Preparar uma reunião de projeto começa por definir o que precisa ser decidido.
Organizamos sete itens nas imagens, da versão do projeto aos próximos passos. Use a última imagem como checklist para sua equipe.</x:t>
  </x:si>
  <x:si>
    <x:t xml:space="preserve">Preparar uma reunião de projeto começa por definir o que precisa ser decidido.
Organizamos sete itens nas imagens, da versão do projeto aos próximos passos. Use a última imagem como checklist para sua equipe.
#BIM #ConstrucaoDigital #Engenharia #Arxis</x:t>
  </x:si>
  <x:si>
    <x:t xml:space="preserve">A lista tem sete itens distribuídos em sete páginas. Conferir a contagem no fechamento. Conteúdo educativo, sem sugerir que a Arxis agenda ou transcreve reuniões.</x:t>
  </x:si>
  <x:si>
    <x:t xml:space="preserve">Informação útil
tem contexto.</x:t>
  </x:si>
  <x:si>
    <x:t xml:space="preserve">Peça única. Apoio: Origem, versão e responsável. Encerrar com assinatura Arxis, Visualize. Analise. Decida.</x:t>
  </x:si>
  <x:si>
    <x:t xml:space="preserve">Fundo azul marinho, título branco e três palavras em bloco claro. Laranja reservado ao detalhe de apoio. Não usar texto laranja pequeno sobre branco.</x:t>
  </x:si>
  <x:si>
    <x:t xml:space="preserve">Antes de usar uma informação, vale perguntar: de onde veio, a qual versão pertence e quem pode confirmá-la?
Esses três pontos dão contexto à conversa sobre o projeto. Leve a pergunta para a sua próxima revisão.
Compartilhe com quem trabalha com você.
#Arxis #BIM #InformacaoDeProjeto</x:t>
  </x:si>
  <x:si>
    <x:t xml:space="preserve">Origem, versão e responsável: três pontos para conferir antes de usar uma informação do projeto.
Quem confirma esses dados na sua equipe? Compartilhe esta pergunta com as pessoas que participam das decisões.</x:t>
  </x:si>
  <x:si>
    <x:t xml:space="preserve">Origem, versão e responsável: três pontos para conferir antes de usar uma informação do projeto.
Quem confirma esses dados na sua equipe? Compartilhe esta pergunta com as pessoas que participam das decisões.
#BIM #ConstrucaoDigital #Engenharia #Arxis</x:t>
  </x:si>
  <x:si>
    <x:t xml:space="preserve">Card de posicionamento. Esta é uma orientação de processo, sem afirmar que há auditoria ou controle de versões disponível no produto.</x:t>
  </x:si>
  <x:si>
    <x:t xml:space="preserve">Duas alternativas.
Quais critérios importam?</x:t>
  </x:si>
  <x:si>
    <x:t xml:space="preserve">1. Capa.
2. Defina a decisão: o que precisa ser escolhido?
3. Escreva os critérios: uso, espaço, execução ou outro requisito.
4. Compare as alternativas com as mesmas perguntas.
5. Registre limitações e informações ainda ausentes.
6. Documente o motivo da escolha.
7. Fecho: salve este roteiro para a próxima análise.</x:t>
  </x:si>
  <x:si>
    <x:t xml:space="preserve">Exemplo esquemático de duas posições de uma porta. Identificar como situação ilustrativa. Comparação editorial em cartões, sem imitar uma tela de comparação da Arxis.</x:t>
  </x:si>
  <x:si>
    <x:t xml:space="preserve">Ao analisar duas alternativas, comece pela decisão que precisa ser tomada. Depois, defina os critérios e aplique as mesmas perguntas a cada opção.
Registre também o que ainda depende de informação ou de avaliação de outra pessoa. O roteiro deste carrossel organiza essa conversa.
Salve para a próxima análise de alternativas.
#Arxis #CenariosDeProjeto #BIM</x:t>
  </x:si>
  <x:si>
    <x:t xml:space="preserve">Como comparar duas alternativas de projeto?
Defina a decisão, estabeleça critérios comuns e registre o que ainda falta saber. As imagens trazem um roteiro com um exemplo ilustrativo.
Qual critério costuma pesar mais nas escolhas da sua equipe?</x:t>
  </x:si>
  <x:si>
    <x:t xml:space="preserve">Como comparar duas alternativas de projeto?
Defina a decisão, estabeleça critérios comuns e registre o que ainda falta saber. As imagens trazem um roteiro com um exemplo ilustrativo.
Qual critério costuma pesar mais nas escolhas da sua equipe?
#BIM #ConstrucaoDigital #Engenharia #Arxis</x:t>
  </x:si>
  <x:si>
    <x:t xml:space="preserve">Sete imagens. Não anunciar comparação visual automática, custos, cronograma 4D ou cálculos do aplicativo. O post ensina um processo de análise.</x:t>
  </x:si>
  <x:si>
    <x:t xml:space="preserve">Registre a alternativa.
Preserve o contexto.</x:t>
  </x:si>
  <x:si>
    <x:t xml:space="preserve">0 a 4 s: pergunta: Como você retoma uma alternativa discutida ontem?
4 a 12 s: apresentar a alternativa e seu nome.
12 a 24 s: se validado, gravar o fluxo real de salvar e reabrir um cenário na Arxis. Mostrar exclusivamente os campos e ações existentes.
24 a 32 s: retomar a alternativa e encerrar com o convite a enviar CENÁRIO.
Alternativa sem gravação: usar cartões com nome, motivo, referência e pendências para explicar o registro manual de uma alternativa.</x:t>
  </x:si>
  <x:si>
    <x:t xml:space="preserve">Gravação real com cortes que preservem a sequência. Na alternativa didática, fundo branco e quatro cartões, com identificação de exemplo ilustrativo.</x:t>
  </x:si>
  <x:si>
    <x:t xml:space="preserve">Uma alternativa fica mais fácil de retomar quando você registra o que ela representa e por que está sendo considerada.
No exemplo, o foco é preservar o contexto para continuar a análise depois: nome da alternativa, referência e pontos a conferir.
Quer conversar sobre cenários de projeto na Arxis? Envie CENÁRIO por mensagem.
#Arxis #BIM #CenariosDeProjeto</x:t>
  </x:si>
  <x:si>
    <x:t xml:space="preserve">Como sua equipe registra uma alternativa para retomar a análise depois?
O exemplo mostra a importância de identificar a opção e preservar o contexto da discussão.
Para conversar sobre cenários de projeto na Arxis, envie CENÁRIO por mensagem à página.</x:t>
  </x:si>
  <x:si>
    <x:t xml:space="preserve">Como sua equipe registra uma alternativa para retomar a análise depois?
O exemplo mostra a importância de identificar a opção e preservar o contexto da discussão.
Para conversar sobre cenários de projeto na Arxis, envie CENÁRIO por mensagem aqui no LinkedIn.
#BIM #ConstrucaoDigital #Engenharia #Arxis</x:t>
  </x:si>
  <x:si>
    <x:t xml:space="preserve">Registre a alternativa.
Preserve o contexto.
Uma alternativa fica mais fácil de retomar quando você registra o que ela representa e por que está sendo considerada.
#BIM #Engenharia #Arquitetura #ConstrucaoDigital #Arxis</x:t>
  </x:si>
  <x:si>
    <x:t xml:space="preserve">Depende de validar na versão atual o salvamento e a reabertura do cenário e gravar o fluxo. Não confundir cenário salvo com comparação visual automática. Sem evidência, usar o roteiro didático alternativo.</x:t>
  </x:si>
  <x:si>
    <x:t xml:space="preserve">Seu projeto passa
por várias ferramentas?</x:t>
  </x:si>
  <x:si>
    <x:t xml:space="preserve">1. Capa.
2. Equipes podem trabalhar com ferramentas diferentes.
3. openBIM propõe colaboração e troca de dados com padrões abertos.
4. IFC é um padrão para descrever digitalmente elementos e informações da construção.
5. Combine o que será entregue e confira o que foi recebido.
6. Fecho: que informação você precisa preservar na troca?</x:t>
  </x:si>
  <x:si>
    <x:t xml:space="preserve">Seis páginas. Ícones genéricos de modelo, arquivo e equipe. Sem logotipos de parceiros ou selos de certificação. Usar IFC por extenso na página correspondente.</x:t>
  </x:si>
  <x:si>
    <x:t xml:space="preserve">Quando o projeto passa por ferramentas diferentes, a troca de informações merece atenção.
openBIM reúne padrões e práticas para apoiar a colaboração entre plataformas. O IFC faz parte desse contexto.
Na rotina, combine os requisitos da entrega e confira o que foi recebido. Qual informação é essencial preservar nas suas trocas de modelos?
#Arxis #OpenBIM #BIM</x:t>
  </x:si>
  <x:si>
    <x:t xml:space="preserve">Sua equipe troca modelos entre ferramentas diferentes?
Este conteúdo apresenta o conceito de openBIM e o papel do IFC nesse contexto. A pergunta prática é: quais informações precisam chegar corretamente à próxima pessoa?
Compartilhe com quem participa dessas entregas.</x:t>
  </x:si>
  <x:si>
    <x:t xml:space="preserve">Sua equipe troca modelos entre ferramentas diferentes?
Este conteúdo apresenta o conceito de openBIM e o papel do IFC nesse contexto. A pergunta prática é: quais informações precisam chegar corretamente à próxima pessoa?
Compartilhe com quem participa dessas entregas.
#BIM #ConstrucaoDigital #Engenharia #Arxis</x:t>
  </x:si>
  <x:si>
    <x:t xml:space="preserve">Referência técnica: buildingSMART, openBIM. Expandir IFC como Industry Foundation Classes. Conteúdo educativo não significa certificação buildingSMART nem compatibilidade já validada da Arxis.</x:t>
  </x:si>
  <x:si>
    <x:t xml:space="preserve">Qual é a versão?
Quem decidiu?
Onde está a referência?</x:t>
  </x:si>
  <x:si>
    <x:t xml:space="preserve">Peça única com as três perguntas. Apoio: Se elas aparecem sempre, vale revisar como a informação é organizada.</x:t>
  </x:si>
  <x:si>
    <x:t xml:space="preserve">Fundo claro, três perguntas em marinho e pequenas marcas laranja. Manter a peça tipográfica e reduzir o rodapé a logo e perfil.</x:t>
  </x:si>
  <x:si>
    <x:t xml:space="preserve">Qual é a versão? Quem decidiu? Onde está a referência?
Se essas perguntas aparecem com frequência, vale olhar para a forma como a equipe organiza e compartilha o contexto das decisões.
Qual delas você mais escuta no dia a dia? Conte nos comentários.
#Arxis #ConstrucaoDigital #Projetos</x:t>
  </x:si>
  <x:si>
    <x:t xml:space="preserve">Três perguntas comuns em uma revisão de projeto: qual é a versão, quem decidiu e onde está a referência?
Qual delas aparece mais na sua rotina? Conte nos comentários para orientar os próximos conteúdos.</x:t>
  </x:si>
  <x:si>
    <x:t xml:space="preserve">Três perguntas comuns em uma revisão de projeto: qual é a versão, quem decidiu e onde está a referência?
Qual delas aparece mais na sua rotina? Conte nos comentários para orientar os próximos conteúdos.
#BIM #ConstrucaoDigital #Engenharia #Arxis</x:t>
  </x:si>
  <x:si>
    <x:t xml:space="preserve">Card simples. Não transformar respostas da audiência em estatísticas ou resultados de pesquisa sem coleta e contexto suficientes.</x:t>
  </x:si>
  <x:si>
    <x:t xml:space="preserve">O que você precisa
entender melhor?</x:t>
  </x:si>
  <x:si>
    <x:t xml:space="preserve">1. Capa.
2. Escolha uma dúvida real e limitada.
3. Identifique a informação necessária para respondê-la.
4. Defina quem consulta e quem confirma.
5. Escolha um exemplo para experimentar o fluxo.
6. Registre o que funcionou e o que falta.
7. Fecho: conte à Arxis qual dúvida você quer resolver.</x:t>
  </x:si>
  <x:si>
    <x:t xml:space="preserve">Sete páginas com um fio visual simples. Usar a pergunta exemplo: Qual alternativa atende melhor ao uso deste espaço? Evitar elementos técnicos sem relação com a pergunta.</x:t>
  </x:si>
  <x:si>
    <x:t xml:space="preserve">Para aproximar a construção digital da sua rotina, comece por uma pergunta concreta do projeto.
Defina o que você precisa entender, quais informações sustentam a análise e quem pode confirmá-las. Depois, experimente um fluxo pequeno e registre o que precisa melhorar.
Qual é a principal dúvida que você gostaria de resolver hoje? Envie por mensagem.
#Arxis #BIM #ConstrucaoDigital</x:t>
  </x:si>
  <x:si>
    <x:t xml:space="preserve">Qual pergunta do seu projeto você gostaria de responder com mais clareza?
O roteiro das imagens começa pela dúvida, identifica a informação necessária e propõe testar um fluxo pequeno.
Envie uma mensagem à Arxis contando seu contexto e a dificuldade principal.</x:t>
  </x:si>
  <x:si>
    <x:t xml:space="preserve">Qual pergunta do seu projeto você gostaria de responder com mais clareza?
O roteiro das imagens começa pela dúvida, identifica a informação necessária e propõe testar um fluxo pequeno.
Envie uma mensagem à Arxis contando seu contexto e a dificuldade principal.
#BIM #ConstrucaoDigital #Engenharia #Arxis</x:t>
  </x:si>
  <x:si>
    <x:t xml:space="preserve">Conteúdo de aproximação comercial sem prometer implantação, consultoria gratuita ou teste do aplicativo. Usar exemplo ilustrativo.</x:t>
  </x:si>
  <x:si>
    <x:t xml:space="preserve">Por onde começar
a análise?</x:t>
  </x:si>
  <x:si>
    <x:t xml:space="preserve">0 a 3 s: pergunta na tela: Por onde começar a análise de um projeto?
3 a 12 s: pessoa do time responde: Pela decisão que precisa ser tomada.
12 a 23 s: apresentar um exemplo simples e listar informação, referência e responsável.
23 a 30 s: fechar convidando o público a enviar a próxima pergunta.
Se houver uma dúvida recebida na campanha, pode substituir a pergunta, preservando a duração e respondendo apenas o que for verificável.</x:t>
  </x:si>
  <x:si>
    <x:t xml:space="preserve">Pessoa real do time em ambiente claro, com áudio limpo e legendas. Alternativa: narração com cartões. Se usar o avatar da Arxis, manter o personagem aprovado e identificar como ilustração.</x:t>
  </x:si>
  <x:si>
    <x:t xml:space="preserve">Por onde começar a análise de um projeto? Pela decisão que você precisa tomar.
Essa pergunta ajuda a selecionar a informação, encontrar a referência e envolver quem pode confirmar o contexto. No vídeo, mostramos um exemplo simples para começar.
Qual tema você quer ver no próximo conteúdo da Arxis? Envie sua pergunta.
#Arxis #BIM #Projetos</x:t>
  </x:si>
  <x:si>
    <x:t xml:space="preserve">No vídeo de hoje, respondemos uma pergunta da rotina de projetos: por onde começar a análise?
Partimos da decisão e identificamos informação, referência e responsável.
Tem outra dúvida? Envie por mensagem ou deixe nos comentários.</x:t>
  </x:si>
  <x:si>
    <x:t xml:space="preserve">No vídeo de hoje, respondemos uma pergunta da rotina de projetos: por onde começar a análise?
Partimos da decisão e identificamos informação, referência e responsável.
Tem outra dúvida? Envie por mensagem ou deixe nos comentários.
#BIM #ConstrucaoDigital #Engenharia #Arxis</x:t>
  </x:si>
  <x:si>
    <x:t xml:space="preserve">Por onde começar
a análise?
Por onde começar a análise de um projeto? Pela decisão que você precisa tomar.
#BIM #Engenharia #Arquitetura #ConstrucaoDigital #Arxis</x:t>
  </x:si>
  <x:si>
    <x:t xml:space="preserve">Gravar fala real ou narrar cartões. Só dizer que a pergunta veio de um seguidor se ela tiver sido recebida. Não inventar audiência, equipe numerosa ou depoimento.</x:t>
  </x:si>
  <x:si>
    <x:t xml:space="preserve">O que sua equipe
precisa de uma ferramenta?</x:t>
  </x:si>
  <x:si>
    <x:t xml:space="preserve">1. Capa.
2. Qual tarefa precisa ser atendida?
3. Quais arquivos e dados serão usados?
4. Quem vai operar e revisar?
5. Em quais dispositivos e condições de uso?
6. Como testar o fluxo completo com um exemplo?
7. Fecho: conte seus critérios à Arxis e converse sobre a aderência ao seu contexto.</x:t>
  </x:si>
  <x:si>
    <x:t xml:space="preserve">Sete páginas com checklist e ícones discretos. Sem tabela de concorrentes, selos, rankings ou promessas de desempenho.</x:t>
  </x:si>
  <x:si>
    <x:t xml:space="preserve">Antes de escolher uma ferramenta, descreva o trabalho que sua equipe precisa fazer.
Liste os arquivos, as pessoas envolvidas, os dispositivos e o fluxo que você quer testar. Isso cria critérios concretos para a conversa.
Quer avaliar a Arxis para o seu contexto? Envie uma mensagem com sua área de atuação e a tarefa principal. Vamos conversar sobre a aderência ao que você precisa.
#Arxis #BIM #TecnologiaNaConstrucao</x:t>
  </x:si>
  <x:si>
    <x:t xml:space="preserve">Como avaliar uma ferramenta BIM para sua equipe? Comece pela tarefa, pelos arquivos, pelas pessoas e pelas condições reais de uso.
O checklist das imagens ajuda a organizar esses critérios. Para conversar sobre a Arxis, envie à página sua área de atuação e a tarefa que deseja atender.</x:t>
  </x:si>
  <x:si>
    <x:t xml:space="preserve">Como avaliar uma ferramenta BIM para sua equipe? Comece pela tarefa, pelos arquivos, pelas pessoas e pelas condições reais de uso.
O checklist das imagens ajuda a organizar esses critérios. Para conversar sobre a Arxis, envie aqui no LinkedIn sua área de atuação e a tarefa que deseja atender.
#BIM #ConstrucaoDigital #Engenharia #Arxis</x:t>
  </x:si>
  <x:si>
    <x:t xml:space="preserve">Não publicar lista de formatos, dispositivos ou integrações suportados sem confirmação atual. Esta pauta propõe critérios de avaliação, não afirma aprovação da Arxis em todos eles.</x:t>
  </x:si>
  <x:si>
    <x:t xml:space="preserve">Vamos conversar
sobre seu próximo projeto?</x:t>
  </x:si>
  <x:si>
    <x:t xml:space="preserve">Peça única. Apoio: Conte sua área e o desafio que quer resolver. Chamada: Envie PROJETO por mensagem. Assinatura Arxis.</x:t>
  </x:si>
  <x:si>
    <x:t xml:space="preserve">Fundo branco, logo original e bloco de destaque azul. CTA com fundo laranja e texto marinho. Arquitetura como detalhe secundário, sem aparência de obra de cliente.</x:t>
  </x:si>
  <x:si>
    <x:t xml:space="preserve">Você trabalha com arquitetura, engenharia, coordenação BIM ou gestão de obras?
Queremos entender o seu contexto: qual tipo de projeto você acompanha e qual dificuldade gostaria de resolver na leitura e no uso das informações?
Envie PROJETO por mensagem com sua área de atuação e o desafio principal. Vamos conversar sobre como a Arxis pode se encaixar nessa rotina.
#Arxis #BIM #ConstrucaoDigital</x:t>
  </x:si>
  <x:si>
    <x:t xml:space="preserve">Vamos conversar sobre o seu próximo projeto?
Envie PROJETO por mensagem à página e conte sua área de atuação, o tipo de projeto e a dificuldade que deseja resolver.
A partir desse contexto, podemos conversar sobre a Arxis e os próximos passos.</x:t>
  </x:si>
  <x:si>
    <x:t xml:space="preserve">Vamos conversar sobre o seu próximo projeto?
Envie PROJETO por mensagem aqui no LinkedIn e conte sua área de atuação, o tipo de projeto e a dificuldade que deseja resolver.
A partir desse contexto, podemos conversar sobre a Arxis e os próximos passos.
#BIM #ConstrucaoDigital #Engenharia #Arxis</x:t>
  </x:si>
  <x:si>
    <x:t xml:space="preserve">Usar mensagem ao perfil/página como destino. Não anunciar preço, desconto, período de teste ou demonstração agendada sem oferta definida. Conferir se a caixa de entrada está sendo acompanhada.</x:t>
  </x:si>
  <x:si>
    <x:t xml:space="preserve">1. Capa: O que conferir na ficha de um elemento?
2. Comece pela pergunta: Uma propriedade só ajuda quando seu significado e sua origem estão claros. Escolha os campos que respondem à pergunta da análise.
3. Dê contexto ao exemplo: Uma porta ilustrativa com identificação, material e uma propriedade ainda sem preenchimento.
4. Primeiro ponto a observar: Identifique o elemento.
5. O que precisa ser confirmado: Leia o nome e o significado do campo.
6. Fecho: Qual propriedade você consulta primeiro? Salve para a próxima análise.</x:t>
  </x:si>
  <x:si>
    <x:t xml:space="preserve">Fundo branco, títulos em azul marinho e linhas de apoio em laranja. Usar um desenho técnico simples como exemplo. Exemplo desta semana: Uma porta ilustrativa com identificação, material e uma propriedade ainda sem preenchimento.</x:t>
  </x:si>
  <x:si>
    <x:t xml:space="preserve">O que conferir na ficha de um elemento?
Uma propriedade só ajuda quando seu significado e sua origem estão claros. Escolha os campos que respondem à pergunta da análise.
Nesta semana, o exemplo será: uma porta ilustrativa com identificação, material e uma propriedade ainda sem preenchimento.
Salve para a próxima análise. Qual propriedade você consulta primeiro?
#Arxis #BIM #ConstrucaoDigital</x:t>
  </x:si>
  <x:si>
    <x:t xml:space="preserve">O que conferir na ficha de um elemento?
Uma propriedade só ajuda quando seu significado e sua origem estão claros. Escolha os campos que respondem à pergunta da análise.
As imagens apresentam um exemplo para discutir com a equipe. Qual propriedade você consulta primeiro?</x:t>
  </x:si>
  <x:si>
    <x:t xml:space="preserve">O que conferir na ficha de um elemento?
Uma propriedade só ajuda quando seu significado e sua origem estão claros. Escolha os campos que respondem à pergunta da análise.
As imagens apresentam um exemplo para discutir com a equipe. Qual propriedade você consulta primeiro?
#BIM #ConstrucaoDigital #Engenharia #Arxis</x:t>
  </x:si>
  <x:si>
    <x:t xml:space="preserve">Criar seis imagens numeradas. Distribuir a explicação em frases curtas. No Facebook, publicar como sequência de imagens e conferir a ordem na prévia.</x:t>
  </x:si>
  <x:si>
    <x:t xml:space="preserve">Propriedades dos elementos
na prática</x:t>
  </x:si>
  <x:si>
    <x:t xml:space="preserve">0 a 3 s: O que conferir na ficha de um elemento?
3 a 9 s: apresentar o exemplo: Uma porta ilustrativa com identificação, material e uma propriedade ainda sem preenchimento.
9 a 17 s: mostrar o primeiro passo: Identifique o elemento.
17 a 25 s: mostrar o segundo passo: Leia o nome e o significado do campo.
25 a 32 s: concluir com a pergunta: Qual propriedade você consulta primeiro?
32 a 35 s: Salve este exemplo.</x:t>
  </x:si>
  <x:si>
    <x:t xml:space="preserve">Vamos olhar para propriedades dos elementos em uma situação concreta.
No vídeo, usamos este exemplo: uma porta ilustrativa com identificação, material e uma propriedade ainda sem preenchimento.
Comece por dois passos:
1. Identifique o elemento.
2. Leia o nome e o significado do campo.
Salve este exemplo.
#Arxis #BIM #ConstrucaoDigital</x:t>
  </x:si>
  <x:si>
    <x:t xml:space="preserve">O que conferir na ficha de um elemento?
O vídeo usa este exemplo: uma porta ilustrativa com identificação, material e uma propriedade ainda sem preenchimento.
Comece por estas ações:
1. Identifique o elemento.
2. Leia o nome e o significado do campo.
Salve este exemplo.</x:t>
  </x:si>
  <x:si>
    <x:t xml:space="preserve">O que conferir na ficha de um elemento?
O vídeo usa este exemplo: uma porta ilustrativa com identificação, material e uma propriedade ainda sem preenchimento.
Comece por estas ações:
1. Identifique o elemento.
2. Leia o nome e o significado do campo.
Salve este exemplo.
#BIM #ConstrucaoDigital #Engenharia #Arxis</x:t>
  </x:si>
  <x:si>
    <x:t xml:space="preserve">Propriedades dos elementos
na prática
Vamos olhar para propriedades dos elementos em uma situação concreta.
#BIM #Engenharia #Arquitetura #ConstrucaoDigital #Arxis</x:t>
  </x:si>
  <x:si>
    <x:t xml:space="preserve">Vídeo de aproximadamente 35 segundos, com narração ou pessoa real e legendas. Produzir o exemplo em cartões, desenho ou modelo autorizado, identificado como ilustração. Se substituir por tela da Arxis, validar e gravar o fluxo realmente disponível na data de produção.</x:t>
  </x:si>
  <x:si>
    <x:t xml:space="preserve">Propriedades dos elementos
4 pontos para conferir</x:t>
  </x:si>
  <x:si>
    <x:t xml:space="preserve">1. Capa: Propriedades dos elementos
4 pontos para conferir
2. Identifique o elemento. Usar o mesmo exemplo da semana para mostrar este ponto.
3. Leia o nome e o significado do campo. Usar o mesmo exemplo da semana para mostrar este ponto.
4. Confira a origem do valor. Usar o mesmo exemplo da semana para mostrar este ponto.
5. Liste o que ainda falta saber. Usar o mesmo exemplo da semana para mostrar este ponto.
6. Checklist completo com os quatro pontos. Fecho: Salve o checklist.</x:t>
  </x:si>
  <x:si>
    <x:t xml:space="preserve">Quatro pontos para conversar sobre propriedades dos elementos:
1. Identifique o elemento.
2. Leia o nome e o significado do campo.
3. Confira a origem do valor.
4. Liste o que ainda falta saber.
Use o roteiro no contexto da sua equipe e registre o que ainda depende de confirmação.
Salve o checklist.
#Arxis #BIM #ConstrucaoDigital</x:t>
  </x:si>
  <x:si>
    <x:t xml:space="preserve">Na próxima conversa sobre propriedades dos elementos, leve este checklist:
Identifique o elemento.
Leia o nome e o significado do campo.
Confira a origem do valor.
Liste o que ainda falta saber.
A última imagem reúne os quatro pontos. Qual propriedade você consulta primeiro?</x:t>
  </x:si>
  <x:si>
    <x:t xml:space="preserve">Na próxima conversa sobre propriedades dos elementos, leve este checklist:
Identifique o elemento.
Leia o nome e o significado do campo.
Confira a origem do valor.
Liste o que ainda falta saber.
A última imagem reúne os quatro pontos. Qual propriedade você consulta primeiro?
#BIM #ConstrucaoDigital #Engenharia #Arxis</x:t>
  </x:si>
  <x:si>
    <x:t xml:space="preserve">Criar seis imagens, usando um ponto por página e uma última página com o checklist completo. Reaproveitar o exemplo visual da quarta-feira. O material é um roteiro de conversa para adaptar ao projeto.</x:t>
  </x:si>
  <x:si>
    <x:t xml:space="preserve">Peça única. Título: Qual propriedade você consulta primeiro?
Apoio: Uma pergunta para quem trabalha com projetos e obras.
Chamada: Responda nos comentários. Rodapé: @arxis.bim.</x:t>
  </x:si>
  <x:si>
    <x:t xml:space="preserve">Qual propriedade você consulta primeiro?
Ao longo da semana, tratamos de propriedades dos elementos com um exemplo e um checklist. Agora queremos ouvir como essa situação aparece no seu trabalho.
Responda nos comentários e conte uma dificuldade ou um aprendizado.
#Arxis #BIM #ConstrucaoDigital</x:t>
  </x:si>
  <x:si>
    <x:t xml:space="preserve">Qual propriedade você consulta primeiro?
Depois do exemplo e do checklist desta semana, queremos ouvir sua experiência. Como sua equipe lida com propriedades dos elementos? Responda nos comentários.</x:t>
  </x:si>
  <x:si>
    <x:t xml:space="preserve">Qual propriedade você consulta primeiro?
Depois do exemplo e do checklist desta semana, queremos ouvir sua experiência. Como sua equipe lida com propriedades dos elementos? Responda nos comentários.
#BIM #ConstrucaoDigital #Engenharia #Arxis</x:t>
  </x:si>
  <x:si>
    <x:t xml:space="preserve">Card de pergunta, com pouca informação. Selecionar respostas reais para orientar temas futuros. Não atribuir respostas fictícias à comunidade.</x:t>
  </x:si>
  <x:si>
    <x:t xml:space="preserve">Como encontrar o detalhe certo no projeto?</x:t>
  </x:si>
  <x:si>
    <x:t xml:space="preserve">1. Capa: Como encontrar o detalhe certo no projeto?
2. Comece pela pergunta: Uma referência de pavimento, ambiente e elemento torna a conversa sobre um detalhe mais objetiva. Prepare esse contexto antes de pedir uma revisão.
3. Dê contexto ao exemplo: Um percurso didático do edifício ao pavimento e depois a uma sala.
4. Primeiro ponto a observar: Confirme o edifício e o pavimento.
5. O que precisa ser confirmado: Localize o ambiente.
6. Fecho: Como você indica um detalhe para a equipe? Envie para quem revisa com você.</x:t>
  </x:si>
  <x:si>
    <x:t xml:space="preserve">Fundo claro, cartões de informação e números em azul. Usar o símbolo da Arxis em posição consistente. Exemplo desta semana: Um percurso didático do edifício ao pavimento e depois a uma sala.</x:t>
  </x:si>
  <x:si>
    <x:t xml:space="preserve">Como encontrar o detalhe certo no projeto?
Uma referência de pavimento, ambiente e elemento torna a conversa sobre um detalhe mais objetiva. Prepare esse contexto antes de pedir uma revisão.
Nesta semana, o exemplo será: um percurso didático do edifício ao pavimento e depois a uma sala.
Envie para quem revisa com você. Como você indica um detalhe para a equipe?
#Arxis #BIM #Projetos</x:t>
  </x:si>
  <x:si>
    <x:t xml:space="preserve">Como encontrar o detalhe certo no projeto?
Uma referência de pavimento, ambiente e elemento torna a conversa sobre um detalhe mais objetiva. Prepare esse contexto antes de pedir uma revisão.
As imagens apresentam um exemplo para discutir com a equipe. Como você indica um detalhe para a equipe?</x:t>
  </x:si>
  <x:si>
    <x:t xml:space="preserve">Como encontrar o detalhe certo no projeto?
Uma referência de pavimento, ambiente e elemento torna a conversa sobre um detalhe mais objetiva. Prepare esse contexto antes de pedir uma revisão.
As imagens apresentam um exemplo para discutir com a equipe. Como você indica um detalhe para a equipe?
#BIM #ConstrucaoDigital #Engenharia #Arxis</x:t>
  </x:si>
  <x:si>
    <x:t xml:space="preserve">Localização no modelo
na prática</x:t>
  </x:si>
  <x:si>
    <x:t xml:space="preserve">0 a 3 s: Como encontrar o detalhe certo no projeto?
3 a 9 s: apresentar o exemplo: Um percurso didático do edifício ao pavimento e depois a uma sala.
9 a 17 s: mostrar o primeiro passo: Confirme o edifício e o pavimento.
17 a 25 s: mostrar o segundo passo: Localize o ambiente.
25 a 32 s: concluir com a pergunta: Como você indica um detalhe para a equipe?
32 a 35 s: Envie sua dúvida.</x:t>
  </x:si>
  <x:si>
    <x:t xml:space="preserve">Como encontrar o detalhe certo no projeto?
No vídeo, usamos este exemplo: um percurso didático do edifício ao pavimento e depois a uma sala.
Comece por dois passos:
1. Confirme o edifício e o pavimento.
2. Localize o ambiente.
Envie sua dúvida.
#Arxis #BIM #Projetos</x:t>
  </x:si>
  <x:si>
    <x:t xml:space="preserve">Como encontrar o detalhe certo no projeto?
O vídeo usa este exemplo: um percurso didático do edifício ao pavimento e depois a uma sala.
Comece por estas ações:
1. Confirme o edifício e o pavimento.
2. Localize o ambiente.
Envie sua dúvida.</x:t>
  </x:si>
  <x:si>
    <x:t xml:space="preserve">Como encontrar o detalhe certo no projeto?
O vídeo usa este exemplo: um percurso didático do edifício ao pavimento e depois a uma sala.
Comece por estas ações:
1. Confirme o edifício e o pavimento.
2. Localize o ambiente.
Envie sua dúvida.
#BIM #ConstrucaoDigital #Engenharia #Arxis</x:t>
  </x:si>
  <x:si>
    <x:t xml:space="preserve">Localização no modelo
na prática
Como encontrar o detalhe certo no projeto?
#BIM #Engenharia #Arquitetura #ConstrucaoDigital #Arxis</x:t>
  </x:si>
  <x:si>
    <x:t xml:space="preserve">Localização no modelo
4 pontos para conferir</x:t>
  </x:si>
  <x:si>
    <x:t xml:space="preserve">1. Capa: Localização no modelo
4 pontos para conferir
2. Confirme o edifício e o pavimento. Usar o mesmo exemplo da semana para mostrar este ponto.
3. Localize o ambiente. Usar o mesmo exemplo da semana para mostrar este ponto.
4. Identifique o elemento. Usar o mesmo exemplo da semana para mostrar este ponto.
5. Registre uma referência que outra pessoa consiga seguir. Usar o mesmo exemplo da semana para mostrar este ponto.
6. Checklist completo com os quatro pontos. Fecho: Leve para a próxima reunião.</x:t>
  </x:si>
  <x:si>
    <x:t xml:space="preserve">Quatro pontos para conversar sobre localização no modelo:
1. Confirme o edifício e o pavimento.
2. Localize o ambiente.
3. Identifique o elemento.
4. Registre uma referência que outra pessoa consiga seguir.
Use o roteiro no contexto da sua equipe e registre o que ainda depende de confirmação.
Leve para a próxima reunião.
#Arxis #BIM #Projetos</x:t>
  </x:si>
  <x:si>
    <x:t xml:space="preserve">Na próxima conversa sobre localização no modelo, leve este checklist:
Confirme o edifício e o pavimento.
Localize o ambiente.
Identifique o elemento.
Registre uma referência que outra pessoa consiga seguir.
A última imagem reúne os quatro pontos. Como você indica um detalhe para a equipe?</x:t>
  </x:si>
  <x:si>
    <x:t xml:space="preserve">Na próxima conversa sobre localização no modelo, leve este checklist:
Confirme o edifício e o pavimento.
Localize o ambiente.
Identifique o elemento.
Registre uma referência que outra pessoa consiga seguir.
A última imagem reúne os quatro pontos. Como você indica um detalhe para a equipe?
#BIM #ConstrucaoDigital #Engenharia #Arxis</x:t>
  </x:si>
  <x:si>
    <x:t xml:space="preserve">Como você indica um detalhe para a equipe?</x:t>
  </x:si>
  <x:si>
    <x:t xml:space="preserve">Peça única. Título: Como você indica um detalhe para a equipe?
Apoio: Uma pergunta para quem trabalha com projetos e obras.
Chamada: Responda nos comentários. Rodapé: @arxis.bim.</x:t>
  </x:si>
  <x:si>
    <x:t xml:space="preserve">Como você indica um detalhe para a equipe?
Ao longo da semana, tratamos de localização no modelo com um exemplo e um checklist. Agora queremos ouvir como essa situação aparece no seu trabalho.
Responda nos comentários e conte uma dificuldade ou um aprendizado.
#Arxis #BIM #Projetos</x:t>
  </x:si>
  <x:si>
    <x:t xml:space="preserve">Como você indica um detalhe para a equipe?
Depois do exemplo e do checklist desta semana, queremos ouvir sua experiência. Como sua equipe lida com localização no modelo? Responda nos comentários.</x:t>
  </x:si>
  <x:si>
    <x:t xml:space="preserve">Como você indica um detalhe para a equipe?
Depois do exemplo e do checklist desta semana, queremos ouvir sua experiência. Como sua equipe lida com localização no modelo? Responda nos comentários.
#BIM #ConstrucaoDigital #Engenharia #Arxis</x:t>
  </x:si>
  <x:si>
    <x:t xml:space="preserve">Arquitetura, estrutura e instalações: o que observar?</x:t>
  </x:si>
  <x:si>
    <x:t xml:space="preserve">1. Capa: Arquitetura, estrutura e instalações: o que observar?
2. Comece pela pergunta: Ao discutir uma região do projeto, identifique quais disciplinas participam daquela decisão e quem pode confirmar cada informação.
3. Dê contexto ao exemplo: Uma sala ilustrativa com porta, pilar e passagem de instalação, usando cores apenas para distinguir disciplinas.
4. Primeiro ponto a observar: Defina a região em análise.
5. O que precisa ser confirmado: Liste as disciplinas envolvidas.
6. Fecho: Qual interface entre disciplinas mais gera dúvidas? Compartilhe com a equipe.</x:t>
  </x:si>
  <x:si>
    <x:t xml:space="preserve">Composição clara com uma imagem ilustrativa e rótulos curtos. Reservar o laranja para o ponto em análise. Exemplo desta semana: Uma sala ilustrativa com porta, pilar e passagem de instalação, usando cores apenas para distinguir disciplinas.</x:t>
  </x:si>
  <x:si>
    <x:t xml:space="preserve">Arquitetura, estrutura e instalações: o que observar?
Ao discutir uma região do projeto, identifique quais disciplinas participam daquela decisão e quem pode confirmar cada informação.
Nesta semana, o exemplo será: uma sala ilustrativa com porta, pilar e passagem de instalação, usando cores apenas para distinguir disciplinas.
Compartilhe com a equipe. Qual interface entre disciplinas mais gera dúvidas?
#Arxis #Engenharia #GestaoDeProjetos</x:t>
  </x:si>
  <x:si>
    <x:t xml:space="preserve">Arquitetura, estrutura e instalações: o que observar?
Ao discutir uma região do projeto, identifique quais disciplinas participam daquela decisão e quem pode confirmar cada informação.
As imagens apresentam um exemplo para discutir com a equipe. Qual interface entre disciplinas mais gera dúvidas?</x:t>
  </x:si>
  <x:si>
    <x:t xml:space="preserve">Arquitetura, estrutura e instalações: o que observar?
Ao discutir uma região do projeto, identifique quais disciplinas participam daquela decisão e quem pode confirmar cada informação.
As imagens apresentam um exemplo para discutir com a equipe. Qual interface entre disciplinas mais gera dúvidas?
#BIM #ConstrucaoDigital #Engenharia #Arxis</x:t>
  </x:si>
  <x:si>
    <x:t xml:space="preserve">Disciplinas e contexto
na prática</x:t>
  </x:si>
  <x:si>
    <x:t xml:space="preserve">0 a 3 s: Arquitetura, estrutura e instalações: o que observar?
3 a 9 s: apresentar o exemplo: Uma sala ilustrativa com porta, pilar e passagem de instalação, usando cores apenas para distinguir disciplinas.
9 a 17 s: mostrar o primeiro passo: Defina a região em análise.
17 a 25 s: mostrar o segundo passo: Liste as disciplinas envolvidas.
25 a 32 s: concluir com a pergunta: Qual interface entre disciplinas mais gera dúvidas?
32 a 35 s: Compartilhe com a equipe.</x:t>
  </x:si>
  <x:si>
    <x:t xml:space="preserve">Como você abordaria este exemplo de disciplinas e contexto?
No vídeo, usamos este exemplo: uma sala ilustrativa com porta, pilar e passagem de instalação, usando cores apenas para distinguir disciplinas.
Comece por dois passos:
1. Defina a região em análise.
2. Liste as disciplinas envolvidas.
Compartilhe com a equipe.
#Arxis #Engenharia #GestaoDeProjetos</x:t>
  </x:si>
  <x:si>
    <x:t xml:space="preserve">Arquitetura, estrutura e instalações: o que observar?
O vídeo usa este exemplo: uma sala ilustrativa com porta, pilar e passagem de instalação, usando cores apenas para distinguir disciplinas.
Comece por estas ações:
1. Defina a região em análise.
2. Liste as disciplinas envolvidas.
Compartilhe com a equipe.</x:t>
  </x:si>
  <x:si>
    <x:t xml:space="preserve">Arquitetura, estrutura e instalações: o que observar?
O vídeo usa este exemplo: uma sala ilustrativa com porta, pilar e passagem de instalação, usando cores apenas para distinguir disciplinas.
Comece por estas ações:
1. Defina a região em análise.
2. Liste as disciplinas envolvidas.
Compartilhe com a equipe.
#BIM #ConstrucaoDigital #Engenharia #Arxis</x:t>
  </x:si>
  <x:si>
    <x:t xml:space="preserve">Disciplinas e contexto
na prática
Como você abordaria este exemplo de disciplinas e contexto?
#BIM #Engenharia #Arquitetura #ConstrucaoDigital #Arxis</x:t>
  </x:si>
  <x:si>
    <x:t xml:space="preserve">Disciplinas e contexto
4 pontos para conferir</x:t>
  </x:si>
  <x:si>
    <x:t xml:space="preserve">1. Capa: Disciplinas e contexto
4 pontos para conferir
2. Defina a região em análise. Usar o mesmo exemplo da semana para mostrar este ponto.
3. Liste as disciplinas envolvidas. Usar o mesmo exemplo da semana para mostrar este ponto.
4. Confirme as referências de cada uma. Usar o mesmo exemplo da semana para mostrar este ponto.
5. Encaminhe a dúvida aos responsáveis. Usar o mesmo exemplo da semana para mostrar este ponto.
6. Checklist completo com os quatro pontos. Fecho: Envie para a equipe.</x:t>
  </x:si>
  <x:si>
    <x:t xml:space="preserve">Quatro pontos para conversar sobre disciplinas e contexto:
1. Defina a região em análise.
2. Liste as disciplinas envolvidas.
3. Confirme as referências de cada uma.
4. Encaminhe a dúvida aos responsáveis.
Use o roteiro no contexto da sua equipe e registre o que ainda depende de confirmação.
Envie para a equipe.
#Arxis #Engenharia #GestaoDeProjetos</x:t>
  </x:si>
  <x:si>
    <x:t xml:space="preserve">Na próxima conversa sobre disciplinas e contexto, leve este checklist:
Defina a região em análise.
Liste as disciplinas envolvidas.
Confirme as referências de cada uma.
Encaminhe a dúvida aos responsáveis.
A última imagem reúne os quatro pontos. Qual interface entre disciplinas mais gera dúvidas?</x:t>
  </x:si>
  <x:si>
    <x:t xml:space="preserve">Na próxima conversa sobre disciplinas e contexto, leve este checklist:
Defina a região em análise.
Liste as disciplinas envolvidas.
Confirme as referências de cada uma.
Encaminhe a dúvida aos responsáveis.
A última imagem reúne os quatro pontos. Qual interface entre disciplinas mais gera dúvidas?
#BIM #ConstrucaoDigital #Engenharia #Arxis</x:t>
  </x:si>
  <x:si>
    <x:t xml:space="preserve">Qual interface entre disciplinas mais gera dúvidas?</x:t>
  </x:si>
  <x:si>
    <x:t xml:space="preserve">Peça única. Título: Qual interface entre disciplinas mais gera dúvidas?
Apoio: Uma pergunta para quem trabalha com projetos e obras.
Chamada: Responda nos comentários. Rodapé: @arxis.bim.</x:t>
  </x:si>
  <x:si>
    <x:t xml:space="preserve">Qual interface entre disciplinas mais gera dúvidas?
Ao longo da semana, tratamos de disciplinas e contexto com um exemplo e um checklist. Agora queremos ouvir como essa situação aparece no seu trabalho.
Responda nos comentários e conte uma dificuldade ou um aprendizado.
#Arxis #Engenharia #GestaoDeProjetos</x:t>
  </x:si>
  <x:si>
    <x:t xml:space="preserve">Qual interface entre disciplinas mais gera dúvidas?
Depois do exemplo e do checklist desta semana, queremos ouvir sua experiência. Como sua equipe lida com disciplinas e contexto? Responda nos comentários.</x:t>
  </x:si>
  <x:si>
    <x:t xml:space="preserve">Qual interface entre disciplinas mais gera dúvidas?
Depois do exemplo e do checklist desta semana, queremos ouvir sua experiência. Como sua equipe lida com disciplinas e contexto? Responda nos comentários.
#BIM #ConstrucaoDigital #Engenharia #Arxis</x:t>
  </x:si>
  <x:si>
    <x:t xml:space="preserve">Os modelos estão olhando para o mesmo lugar?</x:t>
  </x:si>
  <x:si>
    <x:t xml:space="preserve">1. Capa: Os modelos estão olhando para o mesmo lugar?
2. Comece pela pergunta: Antes de discutir diferenças espaciais, combine referências de localização. Um desencontro de posição precisa ser entendido antes de qualquer conclusão.
3. Dê contexto ao exemplo: Dois desenhos didáticos da mesma sala usando origens diferentes.
4. Primeiro ponto a observar: Identifique a referência de origem.
5. O que precisa ser confirmado: Confira orientação e pavimento.
6. Fecho: Como sua equipe combina as referências de posição? Conte sua experiência.</x:t>
  </x:si>
  <x:si>
    <x:t xml:space="preserve">Tipografia em destaque e ícones simples. Alternar com uma peça de fundo marinho na pergunta de sábado. Exemplo desta semana: Dois desenhos didáticos da mesma sala usando origens diferentes, sem validação geométrica automática.</x:t>
  </x:si>
  <x:si>
    <x:t xml:space="preserve">Os modelos estão olhando para o mesmo lugar?
Antes de discutir diferenças espaciais, combine referências de localização. Um desencontro de posição precisa ser entendido antes de qualquer conclusão.
Nesta semana, o exemplo será: dois desenhos didáticos da mesma sala usando origens diferentes.
Conte sua experiência. Como sua equipe combina as referências de posição?
#Arxis #BIM #Arquitetura</x:t>
  </x:si>
  <x:si>
    <x:t xml:space="preserve">Os modelos estão olhando para o mesmo lugar?
Antes de discutir diferenças espaciais, combine referências de localização. Um desencontro de posição precisa ser entendido antes de qualquer conclusão.
As imagens apresentam um exemplo para discutir com a equipe. Como sua equipe combina as referências de posição?</x:t>
  </x:si>
  <x:si>
    <x:t xml:space="preserve">Os modelos estão olhando para o mesmo lugar?
Antes de discutir diferenças espaciais, combine referências de localização. Um desencontro de posição precisa ser entendido antes de qualquer conclusão.
As imagens apresentam um exemplo para discutir com a equipe. Como sua equipe combina as referências de posição?
#BIM #ConstrucaoDigital #Engenharia #Arxis</x:t>
  </x:si>
  <x:si>
    <x:t xml:space="preserve">Referências de posição
na prática</x:t>
  </x:si>
  <x:si>
    <x:t xml:space="preserve">0 a 3 s: Os modelos estão olhando para o mesmo lugar?
3 a 9 s: apresentar o exemplo: Dois desenhos didáticos da mesma sala usando origens diferentes.
9 a 17 s: mostrar o primeiro passo: Identifique a referência de origem.
17 a 25 s: mostrar o segundo passo: Confira orientação e pavimento.
25 a 32 s: concluir com a pergunta: Como sua equipe combina as referências de posição?
32 a 35 s: Envie MODELO por mensagem.</x:t>
  </x:si>
  <x:si>
    <x:t xml:space="preserve">Uma pergunta de projeto pode orientar o que precisa ser observado.
No vídeo, usamos este exemplo: dois desenhos didáticos da mesma sala usando origens diferentes.
Comece por dois passos:
1. Identifique a referência de origem.
2. Confira orientação e pavimento.
Envie MODELO por mensagem.
#Arxis #BIM #Arquitetura</x:t>
  </x:si>
  <x:si>
    <x:t xml:space="preserve">Os modelos estão olhando para o mesmo lugar?
O vídeo usa este exemplo: dois desenhos didáticos da mesma sala usando origens diferentes.
Comece por estas ações:
1. Identifique a referência de origem.
2. Confira orientação e pavimento.
Envie MODELO por mensagem à página.</x:t>
  </x:si>
  <x:si>
    <x:t xml:space="preserve">Os modelos estão olhando para o mesmo lugar?
O vídeo usa este exemplo: dois desenhos didáticos da mesma sala usando origens diferentes.
Comece por estas ações:
1. Identifique a referência de origem.
2. Confira orientação e pavimento.
Envie MODELO por mensagem aqui no LinkedIn.
#BIM #ConstrucaoDigital #Engenharia #Arxis</x:t>
  </x:si>
  <x:si>
    <x:t xml:space="preserve">Referências de posição
na prática
Uma pergunta de projeto pode orientar o que precisa ser observado.
#BIM #Engenharia #Arquitetura #ConstrucaoDigital #Arxis</x:t>
  </x:si>
  <x:si>
    <x:t xml:space="preserve">Referências de posição
4 pontos para conferir</x:t>
  </x:si>
  <x:si>
    <x:t xml:space="preserve">1. Capa: Referências de posição
4 pontos para conferir
2. Identifique a referência de origem. Usar o mesmo exemplo da semana para mostrar este ponto.
3. Confira orientação e pavimento. Usar o mesmo exemplo da semana para mostrar este ponto.
4. Compare um ponto reconhecível. Usar o mesmo exemplo da semana para mostrar este ponto.
5. Registre a referência combinada. Usar o mesmo exemplo da semana para mostrar este ponto.
6. Checklist completo com os quatro pontos. Fecho: Use no próximo exemplo.</x:t>
  </x:si>
  <x:si>
    <x:t xml:space="preserve">Quatro pontos para conversar sobre referências de posição:
1. Identifique a referência de origem.
2. Confira orientação e pavimento.
3. Compare um ponto reconhecível.
4. Registre a referência combinada.
Use o roteiro no contexto da sua equipe e registre o que ainda depende de confirmação.
Use no próximo exemplo.
#Arxis #BIM #Arquitetura</x:t>
  </x:si>
  <x:si>
    <x:t xml:space="preserve">Na próxima conversa sobre referências de posição, leve este checklist:
Identifique a referência de origem.
Confira orientação e pavimento.
Compare um ponto reconhecível.
Registre a referência combinada.
A última imagem reúne os quatro pontos. Como sua equipe combina as referências de posição?</x:t>
  </x:si>
  <x:si>
    <x:t xml:space="preserve">Na próxima conversa sobre referências de posição, leve este checklist:
Identifique a referência de origem.
Confira orientação e pavimento.
Compare um ponto reconhecível.
Registre a referência combinada.
A última imagem reúne os quatro pontos. Como sua equipe combina as referências de posição?
#BIM #ConstrucaoDigital #Engenharia #Arxis</x:t>
  </x:si>
  <x:si>
    <x:t xml:space="preserve">Qual é seu desafio
com referências de posição?</x:t>
  </x:si>
  <x:si>
    <x:t xml:space="preserve">Peça única. Título: Qual é seu desafio
com referências de posição?
Apoio: Conte sua área e a tarefa que deseja atender.
Chamada: Envie MODELO por mensagem. Rodapé: @arxis.bim.</x:t>
  </x:si>
  <x:si>
    <x:t xml:space="preserve">Qual desafio de referências de posição aparece no seu trabalho?
Conte sua área de atuação, o tipo de projeto e a tarefa que você precisa atender. Esse contexto ajuda a conversar sobre a Arxis e a aderência à sua rotina.
Envie MODELO por mensagem.
#Arxis #BIM #Arquitetura</x:t>
  </x:si>
  <x:si>
    <x:t xml:space="preserve">Vamos conversar sobre referências de posição no seu contexto?
Envie MODELO por mensagem à página, contando sua área, o tipo de projeto e a tarefa que deseja atender. Assim podemos discutir a Arxis e os próximos passos.</x:t>
  </x:si>
  <x:si>
    <x:t xml:space="preserve">Vamos conversar sobre referências de posição no seu contexto?
Envie MODELO por mensagem aqui no LinkedIn, contando sua área, o tipo de projeto e a tarefa que deseja atender. Assim podemos discutir a Arxis e os próximos passos.
#BIM #ConstrucaoDigital #Engenharia #Arxis</x:t>
  </x:si>
  <x:si>
    <x:t xml:space="preserve">Card de convite à conversa. Usar somente o contato confirmado. Conferir a caixa de entrada antes de publicar e adequar o convite à oferta vigente.</x:t>
  </x:si>
  <x:si>
    <x:t xml:space="preserve">1. Capa: Qual versão sustenta esta análise?
2. Comece pela pergunta: O registro de uma decisão precisa indicar a versão consultada. A mesma dúvida pode ter uma resposta diferente depois de uma atualização.
3. Dê contexto ao exemplo: Duas imagens ilustrativas de uma porta antes e depois de uma revisão identificada.
4. Primeiro ponto a observar: Identifique a versão analisada.
5. O que precisa ser confirmado: Registre a data da referência.
6. Fecho: Onde você confere a versão antes de revisar? Salve para a próxima análise.</x:t>
  </x:si>
  <x:si>
    <x:t xml:space="preserve">Fundo branco, títulos em azul marinho e linhas de apoio em laranja. Usar um desenho técnico simples como exemplo. Exemplo desta semana: Duas imagens ilustrativas de uma porta antes e depois de uma revisão identificada.</x:t>
  </x:si>
  <x:si>
    <x:t xml:space="preserve">Qual versão sustenta esta análise?
O registro de uma decisão precisa indicar a versão consultada. A mesma dúvida pode ter uma resposta diferente depois de uma atualização.
Nesta semana, o exemplo será: duas imagens ilustrativas de uma porta antes e depois de uma revisão identificada.
Salve para a próxima análise. Onde você confere a versão antes de revisar?
#Arxis #BIM #ConstrucaoDigital</x:t>
  </x:si>
  <x:si>
    <x:t xml:space="preserve">Qual versão sustenta esta análise?
O registro de uma decisão precisa indicar a versão consultada. A mesma dúvida pode ter uma resposta diferente depois de uma atualização.
As imagens apresentam um exemplo para discutir com a equipe. Onde você confere a versão antes de revisar?</x:t>
  </x:si>
  <x:si>
    <x:t xml:space="preserve">Qual versão sustenta esta análise?
O registro de uma decisão precisa indicar a versão consultada. A mesma dúvida pode ter uma resposta diferente depois de uma atualização.
As imagens apresentam um exemplo para discutir com a equipe. Onde você confere a versão antes de revisar?
#BIM #ConstrucaoDigital #Engenharia #Arxis</x:t>
  </x:si>
  <x:si>
    <x:t xml:space="preserve">Versões em revisão
na prática</x:t>
  </x:si>
  <x:si>
    <x:t xml:space="preserve">0 a 3 s: Qual versão sustenta esta análise?
3 a 9 s: apresentar o exemplo: Duas imagens ilustrativas de uma porta antes e depois de uma revisão identificada.
9 a 17 s: mostrar o primeiro passo: Identifique a versão analisada.
17 a 25 s: mostrar o segundo passo: Registre a data da referência.
25 a 32 s: concluir com a pergunta: Onde você confere a versão antes de revisar?
32 a 35 s: Salve este exemplo.</x:t>
  </x:si>
  <x:si>
    <x:t xml:space="preserve">Vamos olhar para versões em revisão em uma situação concreta.
No vídeo, usamos este exemplo: duas imagens ilustrativas de uma porta antes e depois de uma revisão identificada.
Comece por dois passos:
1. Identifique a versão analisada.
2. Registre a data da referência.
Salve este exemplo.
#Arxis #BIM #ConstrucaoDigital</x:t>
  </x:si>
  <x:si>
    <x:t xml:space="preserve">Qual versão sustenta esta análise?
O vídeo usa este exemplo: duas imagens ilustrativas de uma porta antes e depois de uma revisão identificada.
Comece por estas ações:
1. Identifique a versão analisada.
2. Registre a data da referência.
Salve este exemplo.</x:t>
  </x:si>
  <x:si>
    <x:t xml:space="preserve">Qual versão sustenta esta análise?
O vídeo usa este exemplo: duas imagens ilustrativas de uma porta antes e depois de uma revisão identificada.
Comece por estas ações:
1. Identifique a versão analisada.
2. Registre a data da referência.
Salve este exemplo.
#BIM #ConstrucaoDigital #Engenharia #Arxis</x:t>
  </x:si>
  <x:si>
    <x:t xml:space="preserve">Versões em revisão
na prática
Vamos olhar para versões em revisão em uma situação concreta.
#BIM #Engenharia #Arquitetura #ConstrucaoDigital #Arxis</x:t>
  </x:si>
  <x:si>
    <x:t xml:space="preserve">Versões em revisão
4 pontos para conferir</x:t>
  </x:si>
  <x:si>
    <x:t xml:space="preserve">1. Capa: Versões em revisão
4 pontos para conferir
2. Identifique a versão analisada. Usar o mesmo exemplo da semana para mostrar este ponto.
3. Registre a data da referência. Usar o mesmo exemplo da semana para mostrar este ponto.
4. Descreva a mudança relevante. Usar o mesmo exemplo da semana para mostrar este ponto.
5. Confirme qual versão está válida para a tarefa. Usar o mesmo exemplo da semana para mostrar este ponto.
6. Checklist completo com os quatro pontos. Fecho: Salve o checklist.</x:t>
  </x:si>
  <x:si>
    <x:t xml:space="preserve">Quatro pontos para conversar sobre versões em revisão:
1. Identifique a versão analisada.
2. Registre a data da referência.
3. Descreva a mudança relevante.
4. Confirme qual versão está válida para a tarefa.
Use o roteiro no contexto da sua equipe e registre o que ainda depende de confirmação.
Salve o checklist.
#Arxis #BIM #ConstrucaoDigital</x:t>
  </x:si>
  <x:si>
    <x:t xml:space="preserve">Na próxima conversa sobre versões em revisão, leve este checklist:
Identifique a versão analisada.
Registre a data da referência.
Descreva a mudança relevante.
Confirme qual versão está válida para a tarefa.
A última imagem reúne os quatro pontos. Onde você confere a versão antes de revisar?</x:t>
  </x:si>
  <x:si>
    <x:t xml:space="preserve">Na próxima conversa sobre versões em revisão, leve este checklist:
Identifique a versão analisada.
Registre a data da referência.
Descreva a mudança relevante.
Confirme qual versão está válida para a tarefa.
A última imagem reúne os quatro pontos. Onde você confere a versão antes de revisar?
#BIM #ConstrucaoDigital #Engenharia #Arxis</x:t>
  </x:si>
  <x:si>
    <x:t xml:space="preserve">Onde você confere a versão antes de revisar?</x:t>
  </x:si>
  <x:si>
    <x:t xml:space="preserve">Peça única. Título: Onde você confere a versão antes de revisar?
Apoio: Uma pergunta para quem trabalha com projetos e obras.
Chamada: Responda nos comentários. Rodapé: @arxis.bim.</x:t>
  </x:si>
  <x:si>
    <x:t xml:space="preserve">Onde você confere a versão antes de revisar?
Ao longo da semana, tratamos de versões em revisão com um exemplo e um checklist. Agora queremos ouvir como essa situação aparece no seu trabalho.
Responda nos comentários e conte uma dificuldade ou um aprendizado.
#Arxis #BIM #ConstrucaoDigital</x:t>
  </x:si>
  <x:si>
    <x:t xml:space="preserve">Onde você confere a versão antes de revisar?
Depois do exemplo e do checklist desta semana, queremos ouvir sua experiência. Como sua equipe lida com versões em revisão? Responda nos comentários.</x:t>
  </x:si>
  <x:si>
    <x:t xml:space="preserve">Onde você confere a versão antes de revisar?
Depois do exemplo e do checklist desta semana, queremos ouvir sua experiência. Como sua equipe lida com versões em revisão? Responda nos comentários.
#BIM #ConstrucaoDigital #Engenharia #Arxis</x:t>
  </x:si>
  <x:si>
    <x:t xml:space="preserve">1. Capa: A equipe consegue entender sua pendência?
2. Comece pela pergunta: Uma descrição útil informa onde está o ponto, o que foi observado e qual resposta é necessária. Escrever apenas verificar aqui deixa contexto em aberto.
3. Dê contexto ao exemplo: Uma ficha editorial de pendência sobre uma abertura, com localização, observação e pergunta.
4. Primeiro ponto a observar: Localize o ponto.
5. O que precisa ser confirmado: Descreva o que foi observado.
6. Fecho: Qual informação mais falta nas pendências que você recebe? Envie para quem revisa com você.</x:t>
  </x:si>
  <x:si>
    <x:t xml:space="preserve">Fundo claro, cartões de informação e números em azul. Usar o símbolo da Arxis em posição consistente. Exemplo desta semana: Uma ficha editorial de pendência sobre uma abertura, com localização, observação e pergunta.</x:t>
  </x:si>
  <x:si>
    <x:t xml:space="preserve">A equipe consegue entender sua pendência?
Uma descrição útil informa onde está o ponto, o que foi observado e qual resposta é necessária. Escrever apenas verificar aqui deixa contexto em aberto.
Nesta semana, o exemplo será: uma ficha editorial de pendência sobre uma abertura, com localização, observação e pergunta.
Envie para quem revisa com você. Qual informação mais falta nas pendências que você recebe?
#Arxis #BIM #Projetos</x:t>
  </x:si>
  <x:si>
    <x:t xml:space="preserve">A equipe consegue entender sua pendência?
Uma descrição útil informa onde está o ponto, o que foi observado e qual resposta é necessária. Escrever apenas verificar aqui deixa contexto em aberto.
As imagens apresentam um exemplo para discutir com a equipe. Qual informação mais falta nas pendências que você recebe?</x:t>
  </x:si>
  <x:si>
    <x:t xml:space="preserve">A equipe consegue entender sua pendência?
Uma descrição útil informa onde está o ponto, o que foi observado e qual resposta é necessária. Escrever apenas verificar aqui deixa contexto em aberto.
As imagens apresentam um exemplo para discutir com a equipe. Qual informação mais falta nas pendências que você recebe?
#BIM #ConstrucaoDigital #Engenharia #Arxis</x:t>
  </x:si>
  <x:si>
    <x:t xml:space="preserve">Descrição de pendências
na prática</x:t>
  </x:si>
  <x:si>
    <x:t xml:space="preserve">0 a 3 s: A equipe consegue entender sua pendência?
3 a 9 s: apresentar o exemplo: Uma ficha editorial de pendência sobre uma abertura, com localização, observação e pergunta.
9 a 17 s: mostrar o primeiro passo: Localize o ponto.
17 a 25 s: mostrar o segundo passo: Descreva o que foi observado.
25 a 32 s: concluir com a pergunta: Qual informação mais falta nas pendências que você recebe?
32 a 35 s: Envie sua dúvida.</x:t>
  </x:si>
  <x:si>
    <x:t xml:space="preserve">A equipe consegue entender sua pendência?
No vídeo, usamos este exemplo: uma ficha editorial de pendência sobre uma abertura, com localização, observação e pergunta.
Comece por dois passos:
1. Localize o ponto.
2. Descreva o que foi observado.
Envie sua dúvida.
#Arxis #BIM #Projetos</x:t>
  </x:si>
  <x:si>
    <x:t xml:space="preserve">A equipe consegue entender sua pendência?
O vídeo usa este exemplo: uma ficha editorial de pendência sobre uma abertura, com localização, observação e pergunta.
Comece por estas ações:
1. Localize o ponto.
2. Descreva o que foi observado.
Envie sua dúvida.</x:t>
  </x:si>
  <x:si>
    <x:t xml:space="preserve">A equipe consegue entender sua pendência?
O vídeo usa este exemplo: uma ficha editorial de pendência sobre uma abertura, com localização, observação e pergunta.
Comece por estas ações:
1. Localize o ponto.
2. Descreva o que foi observado.
Envie sua dúvida.
#BIM #ConstrucaoDigital #Engenharia #Arxis</x:t>
  </x:si>
  <x:si>
    <x:t xml:space="preserve">Descrição de pendências
na prática
A equipe consegue entender sua pendência?
#BIM #Engenharia #Arquitetura #ConstrucaoDigital #Arxis</x:t>
  </x:si>
  <x:si>
    <x:t xml:space="preserve">Descrição de pendências
4 pontos para conferir</x:t>
  </x:si>
  <x:si>
    <x:t xml:space="preserve">1. Capa: Descrição de pendências
4 pontos para conferir
2. Localize o ponto. Usar o mesmo exemplo da semana para mostrar este ponto.
3. Descreva o que foi observado. Usar o mesmo exemplo da semana para mostrar este ponto.
4. Formule a pergunta a responder. Usar o mesmo exemplo da semana para mostrar este ponto.
5. Inclua a referência usada. Usar o mesmo exemplo da semana para mostrar este ponto.
6. Checklist completo com os quatro pontos. Fecho: Leve para a próxima reunião.</x:t>
  </x:si>
  <x:si>
    <x:t xml:space="preserve">Quatro pontos para conversar sobre descrição de pendências:
1. Localize o ponto.
2. Descreva o que foi observado.
3. Formule a pergunta a responder.
4. Inclua a referência usada.
Use o roteiro no contexto da sua equipe e registre o que ainda depende de confirmação.
Leve para a próxima reunião.
#Arxis #BIM #Projetos</x:t>
  </x:si>
  <x:si>
    <x:t xml:space="preserve">Na próxima conversa sobre descrição de pendências, leve este checklist:
Localize o ponto.
Descreva o que foi observado.
Formule a pergunta a responder.
Inclua a referência usada.
A última imagem reúne os quatro pontos. Qual informação mais falta nas pendências que você recebe?</x:t>
  </x:si>
  <x:si>
    <x:t xml:space="preserve">Na próxima conversa sobre descrição de pendências, leve este checklist:
Localize o ponto.
Descreva o que foi observado.
Formule a pergunta a responder.
Inclua a referência usada.
A última imagem reúne os quatro pontos. Qual informação mais falta nas pendências que você recebe?
#BIM #ConstrucaoDigital #Engenharia #Arxis</x:t>
  </x:si>
  <x:si>
    <x:t xml:space="preserve">Qual informação mais falta nas pendências que você recebe?</x:t>
  </x:si>
  <x:si>
    <x:t xml:space="preserve">Peça única. Título: Qual informação mais falta nas pendências que você recebe?
Apoio: Uma pergunta para quem trabalha com projetos e obras.
Chamada: Responda nos comentários. Rodapé: @arxis.bim.</x:t>
  </x:si>
  <x:si>
    <x:t xml:space="preserve">Qual informação mais falta nas pendências que você recebe?
Ao longo da semana, tratamos de descrição de pendências com um exemplo e um checklist. Agora queremos ouvir como essa situação aparece no seu trabalho.
Responda nos comentários e conte uma dificuldade ou um aprendizado.
#Arxis #BIM #Projetos</x:t>
  </x:si>
  <x:si>
    <x:t xml:space="preserve">Qual informação mais falta nas pendências que você recebe?
Depois do exemplo e do checklist desta semana, queremos ouvir sua experiência. Como sua equipe lida com descrição de pendências? Responda nos comentários.</x:t>
  </x:si>
  <x:si>
    <x:t xml:space="preserve">Qual informação mais falta nas pendências que você recebe?
Depois do exemplo e do checklist desta semana, queremos ouvir sua experiência. Como sua equipe lida com descrição de pendências? Responda nos comentários.
#BIM #ConstrucaoDigital #Engenharia #Arxis</x:t>
  </x:si>
  <x:si>
    <x:t xml:space="preserve">1. Capa: Por qual pendência começar?
2. Comece pela pergunta: Uma lista de revisão precisa de critérios de prioridade. Discuta impacto, dependências e prazo com quem conduz o projeto antes de ordenar os itens.
3. Dê contexto ao exemplo: Três pendências fictícias que afetam decisões em momentos diferentes.
4. Primeiro ponto a observar: Identifique a decisão afetada.
5. O que precisa ser confirmado: Confira dependências.
6. Fecho: O que define a prioridade de revisão na sua equipe? Compartilhe com a equipe.</x:t>
  </x:si>
  <x:si>
    <x:t xml:space="preserve">Composição clara com uma imagem ilustrativa e rótulos curtos. Reservar o laranja para o ponto em análise. Exemplo desta semana: Três pendências fictícias que afetam decisões em momentos diferentes, sem pontuação de risco inventada.</x:t>
  </x:si>
  <x:si>
    <x:t xml:space="preserve">Por qual pendência começar?
Uma lista de revisão precisa de critérios de prioridade. Discuta impacto, dependências e prazo com quem conduz o projeto antes de ordenar os itens.
Nesta semana, o exemplo será: três pendências fictícias que afetam decisões em momentos diferentes.
Compartilhe com a equipe. O que define a prioridade de revisão na sua equipe?
#Arxis #Engenharia #GestaoDeProjetos</x:t>
  </x:si>
  <x:si>
    <x:t xml:space="preserve">Por qual pendência começar?
Uma lista de revisão precisa de critérios de prioridade. Discuta impacto, dependências e prazo com quem conduz o projeto antes de ordenar os itens.
As imagens apresentam um exemplo para discutir com a equipe. O que define a prioridade de revisão na sua equipe?</x:t>
  </x:si>
  <x:si>
    <x:t xml:space="preserve">Por qual pendência começar?
Uma lista de revisão precisa de critérios de prioridade. Discuta impacto, dependências e prazo com quem conduz o projeto antes de ordenar os itens.
As imagens apresentam um exemplo para discutir com a equipe. O que define a prioridade de revisão na sua equipe?
#BIM #ConstrucaoDigital #Engenharia #Arxis</x:t>
  </x:si>
  <x:si>
    <x:t xml:space="preserve">Revisão por prioridade
na prática</x:t>
  </x:si>
  <x:si>
    <x:t xml:space="preserve">0 a 3 s: Por qual pendência começar?
3 a 9 s: apresentar o exemplo: Três pendências fictícias que afetam decisões em momentos diferentes.
9 a 17 s: mostrar o primeiro passo: Identifique a decisão afetada.
17 a 25 s: mostrar o segundo passo: Confira dependências.
25 a 32 s: concluir com a pergunta: O que define a prioridade de revisão na sua equipe?
32 a 35 s: Compartilhe com a equipe.</x:t>
  </x:si>
  <x:si>
    <x:t xml:space="preserve">Como você abordaria este exemplo de revisão por prioridade?
No vídeo, usamos este exemplo: três pendências fictícias que afetam decisões em momentos diferentes.
Comece por dois passos:
1. Identifique a decisão afetada.
2. Confira dependências.
Compartilhe com a equipe.
#Arxis #Engenharia #GestaoDeProjetos</x:t>
  </x:si>
  <x:si>
    <x:t xml:space="preserve">Por qual pendência começar?
O vídeo usa este exemplo: três pendências fictícias que afetam decisões em momentos diferentes.
Comece por estas ações:
1. Identifique a decisão afetada.
2. Confira dependências.
Compartilhe com a equipe.</x:t>
  </x:si>
  <x:si>
    <x:t xml:space="preserve">Por qual pendência começar?
O vídeo usa este exemplo: três pendências fictícias que afetam decisões em momentos diferentes.
Comece por estas ações:
1. Identifique a decisão afetada.
2. Confira dependências.
Compartilhe com a equipe.
#BIM #ConstrucaoDigital #Engenharia #Arxis</x:t>
  </x:si>
  <x:si>
    <x:t xml:space="preserve">Revisão por prioridade
na prática
Como você abordaria este exemplo de revisão por prioridade?
#BIM #Engenharia #Arquitetura #ConstrucaoDigital #Arxis</x:t>
  </x:si>
  <x:si>
    <x:t xml:space="preserve">Revisão por prioridade
4 pontos para conferir</x:t>
  </x:si>
  <x:si>
    <x:t xml:space="preserve">1. Capa: Revisão por prioridade
4 pontos para conferir
2. Identifique a decisão afetada. Usar o mesmo exemplo da semana para mostrar este ponto.
3. Confira dependências. Usar o mesmo exemplo da semana para mostrar este ponto.
4. Combine o prazo de resposta. Usar o mesmo exemplo da semana para mostrar este ponto.
5. Defina a ordem com os responsáveis. Usar o mesmo exemplo da semana para mostrar este ponto.
6. Checklist completo com os quatro pontos. Fecho: Envie para a equipe.</x:t>
  </x:si>
  <x:si>
    <x:t xml:space="preserve">Quatro pontos para conversar sobre revisão por prioridade:
1. Identifique a decisão afetada.
2. Confira dependências.
3. Combine o prazo de resposta.
4. Defina a ordem com os responsáveis.
Use o roteiro no contexto da sua equipe e registre o que ainda depende de confirmação.
Envie para a equipe.
#Arxis #Engenharia #GestaoDeProjetos</x:t>
  </x:si>
  <x:si>
    <x:t xml:space="preserve">Na próxima conversa sobre revisão por prioridade, leve este checklist:
Identifique a decisão afetada.
Confira dependências.
Combine o prazo de resposta.
Defina a ordem com os responsáveis.
A última imagem reúne os quatro pontos. O que define a prioridade de revisão na sua equipe?</x:t>
  </x:si>
  <x:si>
    <x:t xml:space="preserve">Na próxima conversa sobre revisão por prioridade, leve este checklist:
Identifique a decisão afetada.
Confira dependências.
Combine o prazo de resposta.
Defina a ordem com os responsáveis.
A última imagem reúne os quatro pontos. O que define a prioridade de revisão na sua equipe?
#BIM #ConstrucaoDigital #Engenharia #Arxis</x:t>
  </x:si>
  <x:si>
    <x:t xml:space="preserve">O que define a prioridade de revisão na sua equipe?</x:t>
  </x:si>
  <x:si>
    <x:t xml:space="preserve">Peça única. Título: O que define a prioridade de revisão na sua equipe?
Apoio: Uma pergunta para quem trabalha com projetos e obras.
Chamada: Responda nos comentários. Rodapé: @arxis.bim.</x:t>
  </x:si>
  <x:si>
    <x:t xml:space="preserve">O que define a prioridade de revisão na sua equipe?
Ao longo da semana, tratamos de revisão por prioridade com um exemplo e um checklist. Agora queremos ouvir como essa situação aparece no seu trabalho.
Responda nos comentários e conte uma dificuldade ou um aprendizado.
#Arxis #Engenharia #GestaoDeProjetos</x:t>
  </x:si>
  <x:si>
    <x:t xml:space="preserve">O que define a prioridade de revisão na sua equipe?
Depois do exemplo e do checklist desta semana, queremos ouvir sua experiência. Como sua equipe lida com revisão por prioridade? Responda nos comentários.</x:t>
  </x:si>
  <x:si>
    <x:t xml:space="preserve">O que define a prioridade de revisão na sua equipe?
Depois do exemplo e do checklist desta semana, queremos ouvir sua experiência. Como sua equipe lida com revisão por prioridade? Responda nos comentários.
#BIM #ConstrucaoDigital #Engenharia #Arxis</x:t>
  </x:si>
  <x:si>
    <x:t xml:space="preserve">1. Capa: O que falta para encerrar uma revisão?
2. Comece pela pergunta: Encerrar uma pendência exige conferir se a resposta atende à pergunta inicial. Registre a referência da solução e quem confirmou o fechamento.
3. Dê contexto ao exemplo: Uma pendência ilustrativa com pergunta, resposta e uma referência de revisão.
4. Primeiro ponto a observar: Retome a pergunta inicial.
5. O que precisa ser confirmado: Confira a resposta recebida.
6. Fecho: Como vocês confirmam que uma pendência foi resolvida? Conte sua experiência.</x:t>
  </x:si>
  <x:si>
    <x:t xml:space="preserve">Tipografia em destaque e ícones simples. Alternar com uma peça de fundo marinho na pergunta de sábado. Exemplo desta semana: Uma pendência ilustrativa com pergunta, resposta e uma referência de revisão.</x:t>
  </x:si>
  <x:si>
    <x:t xml:space="preserve">O que falta para encerrar uma revisão?
Encerrar uma pendência exige conferir se a resposta atende à pergunta inicial. Registre a referência da solução e quem confirmou o fechamento.
Nesta semana, o exemplo será: uma pendência ilustrativa com pergunta, resposta e uma referência de revisão.
Conte sua experiência. Como vocês confirmam que uma pendência foi resolvida?
#Arxis #BIM #Arquitetura</x:t>
  </x:si>
  <x:si>
    <x:t xml:space="preserve">O que falta para encerrar uma revisão?
Encerrar uma pendência exige conferir se a resposta atende à pergunta inicial. Registre a referência da solução e quem confirmou o fechamento.
As imagens apresentam um exemplo para discutir com a equipe. Como vocês confirmam que uma pendência foi resolvida?</x:t>
  </x:si>
  <x:si>
    <x:t xml:space="preserve">O que falta para encerrar uma revisão?
Encerrar uma pendência exige conferir se a resposta atende à pergunta inicial. Registre a referência da solução e quem confirmou o fechamento.
As imagens apresentam um exemplo para discutir com a equipe. Como vocês confirmam que uma pendência foi resolvida?
#BIM #ConstrucaoDigital #Engenharia #Arxis</x:t>
  </x:si>
  <x:si>
    <x:t xml:space="preserve">Fechamento de pendências
na prática</x:t>
  </x:si>
  <x:si>
    <x:t xml:space="preserve">0 a 3 s: O que falta para encerrar uma revisão?
3 a 9 s: apresentar o exemplo: Uma pendência ilustrativa com pergunta, resposta e uma referência de revisão.
9 a 17 s: mostrar o primeiro passo: Retome a pergunta inicial.
17 a 25 s: mostrar o segundo passo: Confira a resposta recebida.
25 a 32 s: concluir com a pergunta: Como vocês confirmam que uma pendência foi resolvida?
32 a 35 s: Envie REVISAO por mensagem.</x:t>
  </x:si>
  <x:si>
    <x:t xml:space="preserve">Uma pergunta de projeto pode orientar o que precisa ser observado.
No vídeo, usamos este exemplo: uma pendência ilustrativa com pergunta, resposta e uma referência de revisão.
Comece por dois passos:
1. Retome a pergunta inicial.
2. Confira a resposta recebida.
Envie REVISAO por mensagem.
#Arxis #BIM #Arquitetura</x:t>
  </x:si>
  <x:si>
    <x:t xml:space="preserve">O que falta para encerrar uma revisão?
O vídeo usa este exemplo: uma pendência ilustrativa com pergunta, resposta e uma referência de revisão.
Comece por estas ações:
1. Retome a pergunta inicial.
2. Confira a resposta recebida.
Envie REVISAO por mensagem à página.</x:t>
  </x:si>
  <x:si>
    <x:t xml:space="preserve">O que falta para encerrar uma revisão?
O vídeo usa este exemplo: uma pendência ilustrativa com pergunta, resposta e uma referência de revisão.
Comece por estas ações:
1. Retome a pergunta inicial.
2. Confira a resposta recebida.
Envie REVISAO por mensagem aqui no LinkedIn.
#BIM #ConstrucaoDigital #Engenharia #Arxis</x:t>
  </x:si>
  <x:si>
    <x:t xml:space="preserve">Fechamento de pendências
na prática
Uma pergunta de projeto pode orientar o que precisa ser observado.
#BIM #Engenharia #Arquitetura #ConstrucaoDigital #Arxis</x:t>
  </x:si>
  <x:si>
    <x:t xml:space="preserve">Fechamento de pendências
4 pontos para conferir</x:t>
  </x:si>
  <x:si>
    <x:t xml:space="preserve">1. Capa: Fechamento de pendências
4 pontos para conferir
2. Retome a pergunta inicial. Usar o mesmo exemplo da semana para mostrar este ponto.
3. Confira a resposta recebida. Usar o mesmo exemplo da semana para mostrar este ponto.
4. Registre a referência da solução. Usar o mesmo exemplo da semana para mostrar este ponto.
5. Confirme o fechamento com o responsável. Usar o mesmo exemplo da semana para mostrar este ponto.
6. Checklist completo com os quatro pontos. Fecho: Use no próximo exemplo.</x:t>
  </x:si>
  <x:si>
    <x:t xml:space="preserve">Quatro pontos para conversar sobre fechamento de pendências:
1. Retome a pergunta inicial.
2. Confira a resposta recebida.
3. Registre a referência da solução.
4. Confirme o fechamento com o responsável.
Use o roteiro no contexto da sua equipe e registre o que ainda depende de confirmação.
Use no próximo exemplo.
#Arxis #BIM #Arquitetura</x:t>
  </x:si>
  <x:si>
    <x:t xml:space="preserve">Na próxima conversa sobre fechamento de pendências, leve este checklist:
Retome a pergunta inicial.
Confira a resposta recebida.
Registre a referência da solução.
Confirme o fechamento com o responsável.
A última imagem reúne os quatro pontos. Como vocês confirmam que uma pendência foi resolvida?</x:t>
  </x:si>
  <x:si>
    <x:t xml:space="preserve">Na próxima conversa sobre fechamento de pendências, leve este checklist:
Retome a pergunta inicial.
Confira a resposta recebida.
Registre a referência da solução.
Confirme o fechamento com o responsável.
A última imagem reúne os quatro pontos. Como vocês confirmam que uma pendência foi resolvida?
#BIM #ConstrucaoDigital #Engenharia #Arxis</x:t>
  </x:si>
  <x:si>
    <x:t xml:space="preserve">Qual é seu desafio
com fechamento de pendências?</x:t>
  </x:si>
  <x:si>
    <x:t xml:space="preserve">Peça única. Título: Qual é seu desafio
com fechamento de pendências?
Apoio: Conte sua área e a tarefa que deseja atender.
Chamada: Envie REVISAO por mensagem. Rodapé: @arxis.bim.</x:t>
  </x:si>
  <x:si>
    <x:t xml:space="preserve">Qual desafio de fechamento de pendências aparece no seu trabalho?
Conte sua área de atuação, o tipo de projeto e a tarefa que você precisa atender. Esse contexto ajuda a conversar sobre a Arxis e a aderência à sua rotina.
Envie REVISAO por mensagem.
#Arxis #BIM #Arquitetura</x:t>
  </x:si>
  <x:si>
    <x:t xml:space="preserve">Vamos conversar sobre fechamento de pendências no seu contexto?
Envie REVISAO por mensagem à página, contando sua área, o tipo de projeto e a tarefa que deseja atender. Assim podemos discutir a Arxis e os próximos passos.</x:t>
  </x:si>
  <x:si>
    <x:t xml:space="preserve">Vamos conversar sobre fechamento de pendências no seu contexto?
Envie REVISAO por mensagem aqui no LinkedIn, contando sua área, o tipo de projeto e a tarefa que deseja atender. Assim podemos discutir a Arxis e os próximos passos.
#BIM #ConstrucaoDigital #Engenharia #Arxis</x:t>
  </x:si>
  <x:si>
    <x:t xml:space="preserve">O nome do arquivo ajuda a encontrar a referência?</x:t>
  </x:si>
  <x:si>
    <x:t xml:space="preserve">1. Capa: O nome do arquivo ajuda a encontrar a referência?
2. Comece pela pergunta: Uma convenção de nomes funciona quando a equipe entende os campos e usa o mesmo acordo. Comece pelo que precisa ser identificado na rotina.
3. Dê contexto ao exemplo: Nomes fictícios de dois arquivos com projeto, disciplina e revisão apresentados em blocos de cor.
4. Primeiro ponto a observar: Defina os campos necessários.
5. O que precisa ser confirmado: Combine a ordem dos campos.
6. Fecho: Qual informação não pode faltar no nome de um arquivo? Salve para a próxima análise.</x:t>
  </x:si>
  <x:si>
    <x:t xml:space="preserve">Fundo branco, títulos em azul marinho e linhas de apoio em laranja. Usar um desenho técnico simples como exemplo. Exemplo desta semana: Nomes fictícios de dois arquivos com projeto, disciplina e revisão apresentados em blocos de cor.</x:t>
  </x:si>
  <x:si>
    <x:t xml:space="preserve">O nome do arquivo ajuda a encontrar a referência?
Uma convenção de nomes funciona quando a equipe entende os campos e usa o mesmo acordo. Comece pelo que precisa ser identificado na rotina.
Nesta semana, o exemplo será: nomes fictícios de dois arquivos com projeto, disciplina e revisão apresentados em blocos de cor.
Salve para a próxima análise. Qual informação não pode faltar no nome de um arquivo?
#Arxis #BIM #ConstrucaoDigital</x:t>
  </x:si>
  <x:si>
    <x:t xml:space="preserve">O nome do arquivo ajuda a encontrar a referência?
Uma convenção de nomes funciona quando a equipe entende os campos e usa o mesmo acordo. Comece pelo que precisa ser identificado na rotina.
As imagens apresentam um exemplo para discutir com a equipe. Qual informação não pode faltar no nome de um arquivo?</x:t>
  </x:si>
  <x:si>
    <x:t xml:space="preserve">O nome do arquivo ajuda a encontrar a referência?
Uma convenção de nomes funciona quando a equipe entende os campos e usa o mesmo acordo. Comece pelo que precisa ser identificado na rotina.
As imagens apresentam um exemplo para discutir com a equipe. Qual informação não pode faltar no nome de um arquivo?
#BIM #ConstrucaoDigital #Engenharia #Arxis</x:t>
  </x:si>
  <x:si>
    <x:t xml:space="preserve">Nomes de arquivos
na prática</x:t>
  </x:si>
  <x:si>
    <x:t xml:space="preserve">0 a 3 s: O nome do arquivo ajuda a encontrar a referência?
3 a 9 s: apresentar o exemplo: Nomes fictícios de dois arquivos com projeto, disciplina e revisão apresentados em blocos de cor.
9 a 17 s: mostrar o primeiro passo: Defina os campos necessários.
17 a 25 s: mostrar o segundo passo: Combine a ordem dos campos.
25 a 32 s: concluir com a pergunta: Qual informação não pode faltar no nome de um arquivo?
32 a 35 s: Salve este exemplo.</x:t>
  </x:si>
  <x:si>
    <x:t xml:space="preserve">Vamos olhar para nomes de arquivos em uma situação concreta.
No vídeo, usamos este exemplo: nomes fictícios de dois arquivos com projeto, disciplina e revisão apresentados em blocos de cor.
Comece por dois passos:
1. Defina os campos necessários.
2. Combine a ordem dos campos.
Salve este exemplo.
#Arxis #BIM #ConstrucaoDigital</x:t>
  </x:si>
  <x:si>
    <x:t xml:space="preserve">O nome do arquivo ajuda a encontrar a referência?
O vídeo usa este exemplo: nomes fictícios de dois arquivos com projeto, disciplina e revisão apresentados em blocos de cor.
Comece por estas ações:
1. Defina os campos necessários.
2. Combine a ordem dos campos.
Salve este exemplo.</x:t>
  </x:si>
  <x:si>
    <x:t xml:space="preserve">O nome do arquivo ajuda a encontrar a referência?
O vídeo usa este exemplo: nomes fictícios de dois arquivos com projeto, disciplina e revisão apresentados em blocos de cor.
Comece por estas ações:
1. Defina os campos necessários.
2. Combine a ordem dos campos.
Salve este exemplo.
#BIM #ConstrucaoDigital #Engenharia #Arxis</x:t>
  </x:si>
  <x:si>
    <x:t xml:space="preserve">Nomes de arquivos
na prática
Vamos olhar para nomes de arquivos em uma situação concreta.
#BIM #Engenharia #Arquitetura #ConstrucaoDigital #Arxis</x:t>
  </x:si>
  <x:si>
    <x:t xml:space="preserve">Nomes de arquivos
4 pontos para conferir</x:t>
  </x:si>
  <x:si>
    <x:t xml:space="preserve">1. Capa: Nomes de arquivos
4 pontos para conferir
2. Defina os campos necessários. Usar o mesmo exemplo da semana para mostrar este ponto.
3. Combine a ordem dos campos. Usar o mesmo exemplo da semana para mostrar este ponto.
4. Documente um exemplo. Usar o mesmo exemplo da semana para mostrar este ponto.
5. Confira os nomes antes de enviar. Usar o mesmo exemplo da semana para mostrar este ponto.
6. Checklist completo com os quatro pontos. Fecho: Salve o checklist.</x:t>
  </x:si>
  <x:si>
    <x:t xml:space="preserve">Quatro pontos para conversar sobre nomes de arquivos:
1. Defina os campos necessários.
2. Combine a ordem dos campos.
3. Documente um exemplo.
4. Confira os nomes antes de enviar.
Use o roteiro no contexto da sua equipe e registre o que ainda depende de confirmação.
Salve o checklist.
#Arxis #BIM #ConstrucaoDigital</x:t>
  </x:si>
  <x:si>
    <x:t xml:space="preserve">Na próxima conversa sobre nomes de arquivos, leve este checklist:
Defina os campos necessários.
Combine a ordem dos campos.
Documente um exemplo.
Confira os nomes antes de enviar.
A última imagem reúne os quatro pontos. Qual informação não pode faltar no nome de um arquivo?</x:t>
  </x:si>
  <x:si>
    <x:t xml:space="preserve">Na próxima conversa sobre nomes de arquivos, leve este checklist:
Defina os campos necessários.
Combine a ordem dos campos.
Documente um exemplo.
Confira os nomes antes de enviar.
A última imagem reúne os quatro pontos. Qual informação não pode faltar no nome de um arquivo?
#BIM #ConstrucaoDigital #Engenharia #Arxis</x:t>
  </x:si>
  <x:si>
    <x:t xml:space="preserve">Qual informação não pode faltar no nome de um arquivo?</x:t>
  </x:si>
  <x:si>
    <x:t xml:space="preserve">Peça única. Título: Qual informação não pode faltar no nome de um arquivo?
Apoio: Uma pergunta para quem trabalha com projetos e obras.
Chamada: Responda nos comentários. Rodapé: @arxis.bim.</x:t>
  </x:si>
  <x:si>
    <x:t xml:space="preserve">Qual informação não pode faltar no nome de um arquivo?
Ao longo da semana, tratamos de nomes de arquivos com um exemplo e um checklist. Agora queremos ouvir como essa situação aparece no seu trabalho.
Responda nos comentários e conte uma dificuldade ou um aprendizado.
#Arxis #BIM #ConstrucaoDigital</x:t>
  </x:si>
  <x:si>
    <x:t xml:space="preserve">Qual informação não pode faltar no nome de um arquivo?
Depois do exemplo e do checklist desta semana, queremos ouvir sua experiência. Como sua equipe lida com nomes de arquivos? Responda nos comentários.</x:t>
  </x:si>
  <x:si>
    <x:t xml:space="preserve">Qual informação não pode faltar no nome de um arquivo?
Depois do exemplo e do checklist desta semana, queremos ouvir sua experiência. Como sua equipe lida com nomes de arquivos? Responda nos comentários.
#BIM #ConstrucaoDigital #Engenharia #Arxis</x:t>
  </x:si>
  <x:si>
    <x:t xml:space="preserve">1. Capa: A decisão ficou documentada com contexto?
2. Comece pela pergunta: Anotar uma conclusão junto do motivo, da referência e do responsável ajuda a retomá-la depois. Registre também as condições que podem exigir nova avaliação.
3. Dê contexto ao exemplo: Um registro didático de escolha de layout, com motivo e condição ainda pendente.
4. Primeiro ponto a observar: Descreva a decisão.
5. O que precisa ser confirmado: Registre o motivo.
6. Fecho: O que você registra além da conclusão de uma reunião? Envie para quem revisa com você.</x:t>
  </x:si>
  <x:si>
    <x:t xml:space="preserve">Fundo claro, cartões de informação e números em azul. Usar o símbolo da Arxis em posição consistente. Exemplo desta semana: Um registro didático de escolha de layout, com motivo e condição ainda pendente.</x:t>
  </x:si>
  <x:si>
    <x:t xml:space="preserve">A decisão ficou documentada com contexto?
Anotar uma conclusão junto do motivo, da referência e do responsável ajuda a retomá-la depois. Registre também as condições que podem exigir nova avaliação.
Nesta semana, o exemplo será: um registro didático de escolha de layout, com motivo e condição ainda pendente.
Envie para quem revisa com você. O que você registra além da conclusão de uma reunião?
#Arxis #BIM #Projetos</x:t>
  </x:si>
  <x:si>
    <x:t xml:space="preserve">A decisão ficou documentada com contexto?
Anotar uma conclusão junto do motivo, da referência e do responsável ajuda a retomá-la depois. Registre também as condições que podem exigir nova avaliação.
As imagens apresentam um exemplo para discutir com a equipe. O que você registra além da conclusão de uma reunião?</x:t>
  </x:si>
  <x:si>
    <x:t xml:space="preserve">A decisão ficou documentada com contexto?
Anotar uma conclusão junto do motivo, da referência e do responsável ajuda a retomá-la depois. Registre também as condições que podem exigir nova avaliação.
As imagens apresentam um exemplo para discutir com a equipe. O que você registra além da conclusão de uma reunião?
#BIM #ConstrucaoDigital #Engenharia #Arxis</x:t>
  </x:si>
  <x:si>
    <x:t xml:space="preserve">Registro de decisões
na prática</x:t>
  </x:si>
  <x:si>
    <x:t xml:space="preserve">0 a 3 s: A decisão ficou documentada com contexto?
3 a 9 s: apresentar o exemplo: Um registro didático de escolha de layout, com motivo e condição ainda pendente.
9 a 17 s: mostrar o primeiro passo: Descreva a decisão.
17 a 25 s: mostrar o segundo passo: Registre o motivo.
25 a 32 s: concluir com a pergunta: O que você registra além da conclusão de uma reunião?
32 a 35 s: Envie sua dúvida.</x:t>
  </x:si>
  <x:si>
    <x:t xml:space="preserve">A decisão ficou documentada com contexto?
No vídeo, usamos este exemplo: um registro didático de escolha de layout, com motivo e condição ainda pendente.
Comece por dois passos:
1. Descreva a decisão.
2. Registre o motivo.
Envie sua dúvida.
#Arxis #BIM #Projetos</x:t>
  </x:si>
  <x:si>
    <x:t xml:space="preserve">A decisão ficou documentada com contexto?
O vídeo usa este exemplo: um registro didático de escolha de layout, com motivo e condição ainda pendente.
Comece por estas ações:
1. Descreva a decisão.
2. Registre o motivo.
Envie sua dúvida.</x:t>
  </x:si>
  <x:si>
    <x:t xml:space="preserve">A decisão ficou documentada com contexto?
O vídeo usa este exemplo: um registro didático de escolha de layout, com motivo e condição ainda pendente.
Comece por estas ações:
1. Descreva a decisão.
2. Registre o motivo.
Envie sua dúvida.
#BIM #ConstrucaoDigital #Engenharia #Arxis</x:t>
  </x:si>
  <x:si>
    <x:t xml:space="preserve">Registro de decisões
na prática
A decisão ficou documentada com contexto?
#BIM #Engenharia #Arquitetura #ConstrucaoDigital #Arxis</x:t>
  </x:si>
  <x:si>
    <x:t xml:space="preserve">Registro de decisões
4 pontos para conferir</x:t>
  </x:si>
  <x:si>
    <x:t xml:space="preserve">1. Capa: Registro de decisões
4 pontos para conferir
2. Descreva a decisão. Usar o mesmo exemplo da semana para mostrar este ponto.
3. Registre o motivo. Usar o mesmo exemplo da semana para mostrar este ponto.
4. Vincule a referência analisada. Usar o mesmo exemplo da semana para mostrar este ponto.
5. Anote responsáveis e condições. Usar o mesmo exemplo da semana para mostrar este ponto.
6. Checklist completo com os quatro pontos. Fecho: Leve para a próxima reunião.</x:t>
  </x:si>
  <x:si>
    <x:t xml:space="preserve">Quatro pontos para conversar sobre registro de decisões:
1. Descreva a decisão.
2. Registre o motivo.
3. Vincule a referência analisada.
4. Anote responsáveis e condições.
Use o roteiro no contexto da sua equipe e registre o que ainda depende de confirmação.
Leve para a próxima reunião.
#Arxis #BIM #Projetos</x:t>
  </x:si>
  <x:si>
    <x:t xml:space="preserve">Na próxima conversa sobre registro de decisões, leve este checklist:
Descreva a decisão.
Registre o motivo.
Vincule a referência analisada.
Anote responsáveis e condições.
A última imagem reúne os quatro pontos. O que você registra além da conclusão de uma reunião?</x:t>
  </x:si>
  <x:si>
    <x:t xml:space="preserve">Na próxima conversa sobre registro de decisões, leve este checklist:
Descreva a decisão.
Registre o motivo.
Vincule a referência analisada.
Anote responsáveis e condições.
A última imagem reúne os quatro pontos. O que você registra além da conclusão de uma reunião?
#BIM #ConstrucaoDigital #Engenharia #Arxis</x:t>
  </x:si>
  <x:si>
    <x:t xml:space="preserve">O que você registra além da conclusão de uma reunião?</x:t>
  </x:si>
  <x:si>
    <x:t xml:space="preserve">Peça única. Título: O que você registra além da conclusão de uma reunião?
Apoio: Uma pergunta para quem trabalha com projetos e obras.
Chamada: Responda nos comentários. Rodapé: @arxis.bim.</x:t>
  </x:si>
  <x:si>
    <x:t xml:space="preserve">O que você registra além da conclusão de uma reunião?
Ao longo da semana, tratamos de registro de decisões com um exemplo e um checklist. Agora queremos ouvir como essa situação aparece no seu trabalho.
Responda nos comentários e conte uma dificuldade ou um aprendizado.
#Arxis #BIM #Projetos</x:t>
  </x:si>
  <x:si>
    <x:t xml:space="preserve">O que você registra além da conclusão de uma reunião?
Depois do exemplo e do checklist desta semana, queremos ouvir sua experiência. Como sua equipe lida com registro de decisões? Responda nos comentários.</x:t>
  </x:si>
  <x:si>
    <x:t xml:space="preserve">O que você registra além da conclusão de uma reunião?
Depois do exemplo e do checklist desta semana, queremos ouvir sua experiência. Como sua equipe lida com registro de decisões? Responda nos comentários.
#BIM #ConstrucaoDigital #Engenharia #Arxis</x:t>
  </x:si>
  <x:si>
    <x:t xml:space="preserve">Quem consulta, quem responde e quem decide?</x:t>
  </x:si>
  <x:si>
    <x:t xml:space="preserve">1. Capa: Quem consulta, quem responde e quem decide?
2. Comece pela pergunta: Esses papéis podem ser diferentes. Explicitar a participação de cada pessoa evita que uma pergunta fique sem um próximo passo definido.
3. Dê contexto ao exemplo: Uma situação fictícia em que uma dúvida passa por projetista, coordenador e contratante.
4. Primeiro ponto a observar: Liste as pessoas envolvidas.
5. O que precisa ser confirmado: Defina quem responde.
6. Fecho: Sua equipe distingue quem responde de quem decide? Compartilhe com a equipe.</x:t>
  </x:si>
  <x:si>
    <x:t xml:space="preserve">Composição clara com uma imagem ilustrativa e rótulos curtos. Reservar o laranja para o ponto em análise. Exemplo desta semana: Uma situação fictícia em que uma dúvida passa por projetista, coordenador e contratante.</x:t>
  </x:si>
  <x:si>
    <x:t xml:space="preserve">Quem consulta, quem responde e quem decide?
Esses papéis podem ser diferentes. Explicitar a participação de cada pessoa evita que uma pergunta fique sem um próximo passo definido.
Nesta semana, o exemplo será: uma situação fictícia em que uma dúvida passa por projetista, coordenador e contratante.
Compartilhe com a equipe. Sua equipe distingue quem responde de quem decide?
#Arxis #Engenharia #GestaoDeProjetos</x:t>
  </x:si>
  <x:si>
    <x:t xml:space="preserve">Quem consulta, quem responde e quem decide?
Esses papéis podem ser diferentes. Explicitar a participação de cada pessoa evita que uma pergunta fique sem um próximo passo definido.
As imagens apresentam um exemplo para discutir com a equipe. Sua equipe distingue quem responde de quem decide?</x:t>
  </x:si>
  <x:si>
    <x:t xml:space="preserve">Quem consulta, quem responde e quem decide?
Esses papéis podem ser diferentes. Explicitar a participação de cada pessoa evita que uma pergunta fique sem um próximo passo definido.
As imagens apresentam um exemplo para discutir com a equipe. Sua equipe distingue quem responde de quem decide?
#BIM #ConstrucaoDigital #Engenharia #Arxis</x:t>
  </x:si>
  <x:si>
    <x:t xml:space="preserve">Responsabilidades na revisão
na prática</x:t>
  </x:si>
  <x:si>
    <x:t xml:space="preserve">0 a 3 s: Quem consulta, quem responde e quem decide?
3 a 9 s: apresentar o exemplo: Uma situação fictícia em que uma dúvida passa por projetista, coordenador e contratante.
9 a 17 s: mostrar o primeiro passo: Liste as pessoas envolvidas.
17 a 25 s: mostrar o segundo passo: Defina quem responde.
25 a 32 s: concluir com a pergunta: Sua equipe distingue quem responde de quem decide?
32 a 35 s: Compartilhe com a equipe.</x:t>
  </x:si>
  <x:si>
    <x:t xml:space="preserve">Como você abordaria este exemplo de responsabilidades na revisão?
No vídeo, usamos este exemplo: uma situação fictícia em que uma dúvida passa por projetista, coordenador e contratante.
Comece por dois passos:
1. Liste as pessoas envolvidas.
2. Defina quem responde.
Compartilhe com a equipe.
#Arxis #Engenharia #GestaoDeProjetos</x:t>
  </x:si>
  <x:si>
    <x:t xml:space="preserve">Quem consulta, quem responde e quem decide?
O vídeo usa este exemplo: uma situação fictícia em que uma dúvida passa por projetista, coordenador e contratante.
Comece por estas ações:
1. Liste as pessoas envolvidas.
2. Defina quem responde.
Compartilhe com a equipe.</x:t>
  </x:si>
  <x:si>
    <x:t xml:space="preserve">Quem consulta, quem responde e quem decide?
O vídeo usa este exemplo: uma situação fictícia em que uma dúvida passa por projetista, coordenador e contratante.
Comece por estas ações:
1. Liste as pessoas envolvidas.
2. Defina quem responde.
Compartilhe com a equipe.
#BIM #ConstrucaoDigital #Engenharia #Arxis</x:t>
  </x:si>
  <x:si>
    <x:t xml:space="preserve">Responsabilidades na revisão
na prática
Como você abordaria este exemplo de responsabilidades na revisão?
#BIM #Engenharia #Arquitetura #ConstrucaoDigital #Arxis</x:t>
  </x:si>
  <x:si>
    <x:t xml:space="preserve">Responsabilidades na revisão
4 pontos para conferir</x:t>
  </x:si>
  <x:si>
    <x:t xml:space="preserve">1. Capa: Responsabilidades na revisão
4 pontos para conferir
2. Liste as pessoas envolvidas. Usar o mesmo exemplo da semana para mostrar este ponto.
3. Defina quem responde. Usar o mesmo exemplo da semana para mostrar este ponto.
4. Confirme quem decide. Usar o mesmo exemplo da semana para mostrar este ponto.
5. Combine o próximo encaminhamento. Usar o mesmo exemplo da semana para mostrar este ponto.
6. Checklist completo com os quatro pontos. Fecho: Envie para a equipe.</x:t>
  </x:si>
  <x:si>
    <x:t xml:space="preserve">Quatro pontos para conversar sobre responsabilidades na revisão:
1. Liste as pessoas envolvidas.
2. Defina quem responde.
3. Confirme quem decide.
4. Combine o próximo encaminhamento.
Use o roteiro no contexto da sua equipe e registre o que ainda depende de confirmação.
Envie para a equipe.
#Arxis #Engenharia #GestaoDeProjetos</x:t>
  </x:si>
  <x:si>
    <x:t xml:space="preserve">Na próxima conversa sobre responsabilidades na revisão, leve este checklist:
Liste as pessoas envolvidas.
Defina quem responde.
Confirme quem decide.
Combine o próximo encaminhamento.
A última imagem reúne os quatro pontos. Sua equipe distingue quem responde de quem decide?</x:t>
  </x:si>
  <x:si>
    <x:t xml:space="preserve">Na próxima conversa sobre responsabilidades na revisão, leve este checklist:
Liste as pessoas envolvidas.
Defina quem responde.
Confirme quem decide.
Combine o próximo encaminhamento.
A última imagem reúne os quatro pontos. Sua equipe distingue quem responde de quem decide?
#BIM #ConstrucaoDigital #Engenharia #Arxis</x:t>
  </x:si>
  <x:si>
    <x:t xml:space="preserve">Sua equipe distingue quem responde de quem decide?</x:t>
  </x:si>
  <x:si>
    <x:t xml:space="preserve">Peça única. Título: Sua equipe distingue quem responde de quem decide?
Apoio: Uma pergunta para quem trabalha com projetos e obras.
Chamada: Responda nos comentários. Rodapé: @arxis.bim.</x:t>
  </x:si>
  <x:si>
    <x:t xml:space="preserve">Sua equipe distingue quem responde de quem decide?
Ao longo da semana, tratamos de responsabilidades na revisão com um exemplo e um checklist. Agora queremos ouvir como essa situação aparece no seu trabalho.
Responda nos comentários e conte uma dificuldade ou um aprendizado.
#Arxis #Engenharia #GestaoDeProjetos</x:t>
  </x:si>
  <x:si>
    <x:t xml:space="preserve">Sua equipe distingue quem responde de quem decide?
Depois do exemplo e do checklist desta semana, queremos ouvir sua experiência. Como sua equipe lida com responsabilidades na revisão? Responda nos comentários.</x:t>
  </x:si>
  <x:si>
    <x:t xml:space="preserve">Sua equipe distingue quem responde de quem decide?
Depois do exemplo e do checklist desta semana, queremos ouvir sua experiência. Como sua equipe lida com responsabilidades na revisão? Responda nos comentários.
#BIM #ConstrucaoDigital #Engenharia #Arxis</x:t>
  </x:si>
  <x:si>
    <x:t xml:space="preserve">A próxima pessoa recebeu o contexto necessário?</x:t>
  </x:si>
  <x:si>
    <x:t xml:space="preserve">1. Capa: A próxima pessoa recebeu o contexto necessário?
2. Comece pela pergunta: Uma entrega deve dizer o que contém, para qual uso foi preparada e quais pontos permanecem abertos. A lista de arquivos é apenas uma parte desse contexto.
3. Dê contexto ao exemplo: Uma lista ilustrativa de entrega com modelo, documento de referência e observações.
4. Primeiro ponto a observar: Liste os itens entregues.
5. O que precisa ser confirmado: Descreva a finalidade.
6. Fecho: O que acompanha os arquivos nas suas entregas? Conte sua experiência.</x:t>
  </x:si>
  <x:si>
    <x:t xml:space="preserve">Tipografia em destaque e ícones simples. Alternar com uma peça de fundo marinho na pergunta de sábado. Exemplo desta semana: Uma lista ilustrativa de entrega com modelo, documento de referência e observações.</x:t>
  </x:si>
  <x:si>
    <x:t xml:space="preserve">A próxima pessoa recebeu o contexto necessário?
Uma entrega deve dizer o que contém, para qual uso foi preparada e quais pontos permanecem abertos. A lista de arquivos é apenas uma parte desse contexto.
Nesta semana, o exemplo será: uma lista ilustrativa de entrega com modelo, documento de referência e observações.
Conte sua experiência. O que acompanha os arquivos nas suas entregas?
#Arxis #BIM #Arquitetura</x:t>
  </x:si>
  <x:si>
    <x:t xml:space="preserve">A próxima pessoa recebeu o contexto necessário?
Uma entrega deve dizer o que contém, para qual uso foi preparada e quais pontos permanecem abertos. A lista de arquivos é apenas uma parte desse contexto.
As imagens apresentam um exemplo para discutir com a equipe. O que acompanha os arquivos nas suas entregas?</x:t>
  </x:si>
  <x:si>
    <x:t xml:space="preserve">A próxima pessoa recebeu o contexto necessário?
Uma entrega deve dizer o que contém, para qual uso foi preparada e quais pontos permanecem abertos. A lista de arquivos é apenas uma parte desse contexto.
As imagens apresentam um exemplo para discutir com a equipe. O que acompanha os arquivos nas suas entregas?
#BIM #ConstrucaoDigital #Engenharia #Arxis</x:t>
  </x:si>
  <x:si>
    <x:t xml:space="preserve">Pacote de entrega
na prática</x:t>
  </x:si>
  <x:si>
    <x:t xml:space="preserve">0 a 3 s: A próxima pessoa recebeu o contexto necessário?
3 a 9 s: apresentar o exemplo: Uma lista ilustrativa de entrega com modelo, documento de referência e observações.
9 a 17 s: mostrar o primeiro passo: Liste os itens entregues.
17 a 25 s: mostrar o segundo passo: Descreva a finalidade.
25 a 32 s: concluir com a pergunta: O que acompanha os arquivos nas suas entregas?
32 a 35 s: Envie PROJETO por mensagem.</x:t>
  </x:si>
  <x:si>
    <x:t xml:space="preserve">Uma pergunta de projeto pode orientar o que precisa ser observado.
No vídeo, usamos este exemplo: uma lista ilustrativa de entrega com modelo, documento de referência e observações.
Comece por dois passos:
1. Liste os itens entregues.
2. Descreva a finalidade.
Envie PROJETO por mensagem.
#Arxis #BIM #Arquitetura</x:t>
  </x:si>
  <x:si>
    <x:t xml:space="preserve">A próxima pessoa recebeu o contexto necessário?
O vídeo usa este exemplo: uma lista ilustrativa de entrega com modelo, documento de referência e observações.
Comece por estas ações:
1. Liste os itens entregues.
2. Descreva a finalidade.
Envie PROJETO por mensagem à página.</x:t>
  </x:si>
  <x:si>
    <x:t xml:space="preserve">A próxima pessoa recebeu o contexto necessário?
O vídeo usa este exemplo: uma lista ilustrativa de entrega com modelo, documento de referência e observações.
Comece por estas ações:
1. Liste os itens entregues.
2. Descreva a finalidade.
Envie PROJETO por mensagem aqui no LinkedIn.
#BIM #ConstrucaoDigital #Engenharia #Arxis</x:t>
  </x:si>
  <x:si>
    <x:t xml:space="preserve">Pacote de entrega
na prática
Uma pergunta de projeto pode orientar o que precisa ser observado.
#BIM #Engenharia #Arquitetura #ConstrucaoDigital #Arxis</x:t>
  </x:si>
  <x:si>
    <x:t xml:space="preserve">Pacote de entrega
4 pontos para conferir</x:t>
  </x:si>
  <x:si>
    <x:t xml:space="preserve">1. Capa: Pacote de entrega
4 pontos para conferir
2. Liste os itens entregues. Usar o mesmo exemplo da semana para mostrar este ponto.
3. Descreva a finalidade. Usar o mesmo exemplo da semana para mostrar este ponto.
4. Informe as versões. Usar o mesmo exemplo da semana para mostrar este ponto.
5. Registre pendências e destinatários. Usar o mesmo exemplo da semana para mostrar este ponto.
6. Checklist completo com os quatro pontos. Fecho: Use no próximo exemplo.</x:t>
  </x:si>
  <x:si>
    <x:t xml:space="preserve">Quatro pontos para conversar sobre pacote de entrega:
1. Liste os itens entregues.
2. Descreva a finalidade.
3. Informe as versões.
4. Registre pendências e destinatários.
Use o roteiro no contexto da sua equipe e registre o que ainda depende de confirmação.
Use no próximo exemplo.
#Arxis #BIM #Arquitetura</x:t>
  </x:si>
  <x:si>
    <x:t xml:space="preserve">Na próxima conversa sobre pacote de entrega, leve este checklist:
Liste os itens entregues.
Descreva a finalidade.
Informe as versões.
Registre pendências e destinatários.
A última imagem reúne os quatro pontos. O que acompanha os arquivos nas suas entregas?</x:t>
  </x:si>
  <x:si>
    <x:t xml:space="preserve">Na próxima conversa sobre pacote de entrega, leve este checklist:
Liste os itens entregues.
Descreva a finalidade.
Informe as versões.
Registre pendências e destinatários.
A última imagem reúne os quatro pontos. O que acompanha os arquivos nas suas entregas?
#BIM #ConstrucaoDigital #Engenharia #Arxis</x:t>
  </x:si>
  <x:si>
    <x:t xml:space="preserve">Qual é seu desafio
com pacote de entrega?</x:t>
  </x:si>
  <x:si>
    <x:t xml:space="preserve">Peça única. Título: Qual é seu desafio
com pacote de entrega?
Apoio: Conte sua área e a tarefa que deseja atender.
Chamada: Envie PROJETO por mensagem. Rodapé: @arxis.bim.</x:t>
  </x:si>
  <x:si>
    <x:t xml:space="preserve">Qual desafio de pacote de entrega aparece no seu trabalho?
Conte sua área de atuação, o tipo de projeto e a tarefa que você precisa atender. Esse contexto ajuda a conversar sobre a Arxis e a aderência à sua rotina.
Envie PROJETO por mensagem.
#Arxis #BIM #Arquitetura</x:t>
  </x:si>
  <x:si>
    <x:t xml:space="preserve">Vamos conversar sobre pacote de entrega no seu contexto?
Envie PROJETO por mensagem à página, contando sua área, o tipo de projeto e a tarefa que deseja atender. Assim podemos discutir a Arxis e os próximos passos.</x:t>
  </x:si>
  <x:si>
    <x:t xml:space="preserve">Vamos conversar sobre pacote de entrega no seu contexto?
Envie PROJETO por mensagem aqui no LinkedIn, contando sua área, o tipo de projeto e a tarefa que deseja atender. Assim podemos discutir a Arxis e os próximos passos.
#BIM #ConstrucaoDigital #Engenharia #Arxis</x:t>
  </x:si>
  <x:si>
    <x:t xml:space="preserve">1. Capa: O que torna uma alternativa adequada?
2. Comece pela pergunta: Defina critérios antes de discutir preferências. Os mesmos critérios devem ser aplicados a todas as opções consideradas para aquela decisão.
3. Dê contexto ao exemplo: Duas opções ilustrativas de organização de uma sala, avaliadas por uso e circulação.
4. Primeiro ponto a observar: Defina a decisão.
5. O que precisa ser confirmado: Escolha critérios pertinentes.
6. Fecho: Qual critério costuma decidir entre duas alternativas? Salve para a próxima análise.</x:t>
  </x:si>
  <x:si>
    <x:t xml:space="preserve">Fundo branco, títulos em azul marinho e linhas de apoio em laranja. Usar um desenho técnico simples como exemplo. Exemplo desta semana: Duas opções ilustrativas de organização de uma sala, avaliadas por uso e circulação.</x:t>
  </x:si>
  <x:si>
    <x:t xml:space="preserve">O que torna uma alternativa adequada?
Defina critérios antes de discutir preferências. Os mesmos critérios devem ser aplicados a todas as opções consideradas para aquela decisão.
Nesta semana, o exemplo será: duas opções ilustrativas de organização de uma sala, avaliadas por uso e circulação.
Salve para a próxima análise. Qual critério costuma decidir entre duas alternativas?
#Arxis #BIM #ConstrucaoDigital</x:t>
  </x:si>
  <x:si>
    <x:t xml:space="preserve">O que torna uma alternativa adequada?
Defina critérios antes de discutir preferências. Os mesmos critérios devem ser aplicados a todas as opções consideradas para aquela decisão.
As imagens apresentam um exemplo para discutir com a equipe. Qual critério costuma decidir entre duas alternativas?</x:t>
  </x:si>
  <x:si>
    <x:t xml:space="preserve">O que torna uma alternativa adequada?
Defina critérios antes de discutir preferências. Os mesmos critérios devem ser aplicados a todas as opções consideradas para aquela decisão.
As imagens apresentam um exemplo para discutir com a equipe. Qual critério costuma decidir entre duas alternativas?
#BIM #ConstrucaoDigital #Engenharia #Arxis</x:t>
  </x:si>
  <x:si>
    <x:t xml:space="preserve">Critérios de alternativas
na prática</x:t>
  </x:si>
  <x:si>
    <x:t xml:space="preserve">0 a 3 s: O que torna uma alternativa adequada?
3 a 9 s: apresentar o exemplo: Duas opções ilustrativas de organização de uma sala, avaliadas por uso e circulação.
9 a 17 s: mostrar o primeiro passo: Defina a decisão.
17 a 25 s: mostrar o segundo passo: Escolha critérios pertinentes.
25 a 32 s: concluir com a pergunta: Qual critério costuma decidir entre duas alternativas?
32 a 35 s: Salve este exemplo.</x:t>
  </x:si>
  <x:si>
    <x:t xml:space="preserve">Vamos olhar para critérios de alternativas em uma situação concreta.
No vídeo, usamos este exemplo: duas opções ilustrativas de organização de uma sala, avaliadas por uso e circulação.
Comece por dois passos:
1. Defina a decisão.
2. Escolha critérios pertinentes.
Salve este exemplo.
#Arxis #BIM #ConstrucaoDigital</x:t>
  </x:si>
  <x:si>
    <x:t xml:space="preserve">O que torna uma alternativa adequada?
O vídeo usa este exemplo: duas opções ilustrativas de organização de uma sala, avaliadas por uso e circulação.
Comece por estas ações:
1. Defina a decisão.
2. Escolha critérios pertinentes.
Salve este exemplo.</x:t>
  </x:si>
  <x:si>
    <x:t xml:space="preserve">O que torna uma alternativa adequada?
O vídeo usa este exemplo: duas opções ilustrativas de organização de uma sala, avaliadas por uso e circulação.
Comece por estas ações:
1. Defina a decisão.
2. Escolha critérios pertinentes.
Salve este exemplo.
#BIM #ConstrucaoDigital #Engenharia #Arxis</x:t>
  </x:si>
  <x:si>
    <x:t xml:space="preserve">Critérios de alternativas
na prática
Vamos olhar para critérios de alternativas em uma situação concreta.
#BIM #Engenharia #Arquitetura #ConstrucaoDigital #Arxis</x:t>
  </x:si>
  <x:si>
    <x:t xml:space="preserve">Critérios de alternativas
4 pontos para conferir</x:t>
  </x:si>
  <x:si>
    <x:t xml:space="preserve">1. Capa: Critérios de alternativas
4 pontos para conferir
2. Defina a decisão. Usar o mesmo exemplo da semana para mostrar este ponto.
3. Escolha critérios pertinentes. Usar o mesmo exemplo da semana para mostrar este ponto.
4. Use as mesmas perguntas nas opções. Usar o mesmo exemplo da semana para mostrar este ponto.
5. Registre o motivo da preferência. Usar o mesmo exemplo da semana para mostrar este ponto.
6. Checklist completo com os quatro pontos. Fecho: Salve o checklist.</x:t>
  </x:si>
  <x:si>
    <x:t xml:space="preserve">Quatro pontos para conversar sobre critérios de alternativas:
1. Defina a decisão.
2. Escolha critérios pertinentes.
3. Use as mesmas perguntas nas opções.
4. Registre o motivo da preferência.
Use o roteiro no contexto da sua equipe e registre o que ainda depende de confirmação.
Salve o checklist.
#Arxis #BIM #ConstrucaoDigital</x:t>
  </x:si>
  <x:si>
    <x:t xml:space="preserve">Na próxima conversa sobre critérios de alternativas, leve este checklist:
Defina a decisão.
Escolha critérios pertinentes.
Use as mesmas perguntas nas opções.
Registre o motivo da preferência.
A última imagem reúne os quatro pontos. Qual critério costuma decidir entre duas alternativas?</x:t>
  </x:si>
  <x:si>
    <x:t xml:space="preserve">Na próxima conversa sobre critérios de alternativas, leve este checklist:
Defina a decisão.
Escolha critérios pertinentes.
Use as mesmas perguntas nas opções.
Registre o motivo da preferência.
A última imagem reúne os quatro pontos. Qual critério costuma decidir entre duas alternativas?
#BIM #ConstrucaoDigital #Engenharia #Arxis</x:t>
  </x:si>
  <x:si>
    <x:t xml:space="preserve">Qual critério costuma decidir entre duas alternativas?</x:t>
  </x:si>
  <x:si>
    <x:t xml:space="preserve">Peça única. Título: Qual critério costuma decidir entre duas alternativas?
Apoio: Uma pergunta para quem trabalha com projetos e obras.
Chamada: Responda nos comentários. Rodapé: @arxis.bim.</x:t>
  </x:si>
  <x:si>
    <x:t xml:space="preserve">Qual critério costuma decidir entre duas alternativas?
Ao longo da semana, tratamos de critérios de alternativas com um exemplo e um checklist. Agora queremos ouvir como essa situação aparece no seu trabalho.
Responda nos comentários e conte uma dificuldade ou um aprendizado.
#Arxis #BIM #ConstrucaoDigital</x:t>
  </x:si>
  <x:si>
    <x:t xml:space="preserve">Qual critério costuma decidir entre duas alternativas?
Depois do exemplo e do checklist desta semana, queremos ouvir sua experiência. Como sua equipe lida com critérios de alternativas? Responda nos comentários.</x:t>
  </x:si>
  <x:si>
    <x:t xml:space="preserve">Qual critério costuma decidir entre duas alternativas?
Depois do exemplo e do checklist desta semana, queremos ouvir sua experiência. Como sua equipe lida com critérios de alternativas? Responda nos comentários.
#BIM #ConstrucaoDigital #Engenharia #Arxis</x:t>
  </x:si>
  <x:si>
    <x:t xml:space="preserve">Quais condições a alternativa precisa respeitar?</x:t>
  </x:si>
  <x:si>
    <x:t xml:space="preserve">1. Capa: Quais condições a alternativa precisa respeitar?
2. Comece pela pergunta: Uma restrição combinada precisa aparecer na análise da opção. Registre de onde ela veio e quem pode confirmar se continua válida.
3. Dê contexto ao exemplo: Um layout didático que precisa manter uma área de acesso livre.
4. Primeiro ponto a observar: Liste as condições informadas.
5. O que precisa ser confirmado: Confirme a origem de cada condição.
6. Fecho: Qual restrição costuma aparecer tarde na discussão? Envie para quem revisa com você.</x:t>
  </x:si>
  <x:si>
    <x:t xml:space="preserve">Fundo claro, cartões de informação e números em azul. Usar o símbolo da Arxis em posição consistente. Exemplo desta semana: Um layout didático que precisa manter uma área de acesso livre, sem dimensionamento técnico.</x:t>
  </x:si>
  <x:si>
    <x:t xml:space="preserve">Quais condições a alternativa precisa respeitar?
Uma restrição combinada precisa aparecer na análise da opção. Registre de onde ela veio e quem pode confirmar se continua válida.
Nesta semana, o exemplo será: um layout didático que precisa manter uma área de acesso livre.
Envie para quem revisa com você. Qual restrição costuma aparecer tarde na discussão?
#Arxis #BIM #Projetos</x:t>
  </x:si>
  <x:si>
    <x:t xml:space="preserve">Quais condições a alternativa precisa respeitar?
Uma restrição combinada precisa aparecer na análise da opção. Registre de onde ela veio e quem pode confirmar se continua válida.
As imagens apresentam um exemplo para discutir com a equipe. Qual restrição costuma aparecer tarde na discussão?</x:t>
  </x:si>
  <x:si>
    <x:t xml:space="preserve">Quais condições a alternativa precisa respeitar?
Uma restrição combinada precisa aparecer na análise da opção. Registre de onde ela veio e quem pode confirmar se continua válida.
As imagens apresentam um exemplo para discutir com a equipe. Qual restrição costuma aparecer tarde na discussão?
#BIM #ConstrucaoDigital #Engenharia #Arxis</x:t>
  </x:si>
  <x:si>
    <x:t xml:space="preserve">Restrições de projeto
na prática</x:t>
  </x:si>
  <x:si>
    <x:t xml:space="preserve">0 a 3 s: Quais condições a alternativa precisa respeitar?
3 a 9 s: apresentar o exemplo: Um layout didático que precisa manter uma área de acesso livre.
9 a 17 s: mostrar o primeiro passo: Liste as condições informadas.
17 a 25 s: mostrar o segundo passo: Confirme a origem de cada condição.
25 a 32 s: concluir com a pergunta: Qual restrição costuma aparecer tarde na discussão?
32 a 35 s: Envie sua dúvida.</x:t>
  </x:si>
  <x:si>
    <x:t xml:space="preserve">Quais condições a alternativa precisa respeitar?
No vídeo, usamos este exemplo: um layout didático que precisa manter uma área de acesso livre.
Comece por dois passos:
1. Liste as condições informadas.
2. Confirme a origem de cada condição.
Envie sua dúvida.
#Arxis #BIM #Projetos</x:t>
  </x:si>
  <x:si>
    <x:t xml:space="preserve">Quais condições a alternativa precisa respeitar?
O vídeo usa este exemplo: um layout didático que precisa manter uma área de acesso livre.
Comece por estas ações:
1. Liste as condições informadas.
2. Confirme a origem de cada condição.
Envie sua dúvida.</x:t>
  </x:si>
  <x:si>
    <x:t xml:space="preserve">Quais condições a alternativa precisa respeitar?
O vídeo usa este exemplo: um layout didático que precisa manter uma área de acesso livre.
Comece por estas ações:
1. Liste as condições informadas.
2. Confirme a origem de cada condição.
Envie sua dúvida.
#BIM #ConstrucaoDigital #Engenharia #Arxis</x:t>
  </x:si>
  <x:si>
    <x:t xml:space="preserve">Restrições de projeto
na prática
Quais condições a alternativa precisa respeitar?
#BIM #Engenharia #Arquitetura #ConstrucaoDigital #Arxis</x:t>
  </x:si>
  <x:si>
    <x:t xml:space="preserve">Restrições de projeto
4 pontos para conferir</x:t>
  </x:si>
  <x:si>
    <x:t xml:space="preserve">1. Capa: Restrições de projeto
4 pontos para conferir
2. Liste as condições informadas. Usar o mesmo exemplo da semana para mostrar este ponto.
3. Confirme a origem de cada condição. Usar o mesmo exemplo da semana para mostrar este ponto.
4. Verifique quais opções são afetadas. Usar o mesmo exemplo da semana para mostrar este ponto.
5. Registre o que exige avaliação técnica. Usar o mesmo exemplo da semana para mostrar este ponto.
6. Checklist completo com os quatro pontos. Fecho: Leve para a próxima reunião.</x:t>
  </x:si>
  <x:si>
    <x:t xml:space="preserve">Quatro pontos para conversar sobre restrições de projeto:
1. Liste as condições informadas.
2. Confirme a origem de cada condição.
3. Verifique quais opções são afetadas.
4. Registre o que exige avaliação técnica.
Use o roteiro no contexto da sua equipe e registre o que ainda depende de confirmação.
Leve para a próxima reunião.
#Arxis #BIM #Projetos</x:t>
  </x:si>
  <x:si>
    <x:t xml:space="preserve">Na próxima conversa sobre restrições de projeto, leve este checklist:
Liste as condições informadas.
Confirme a origem de cada condição.
Verifique quais opções são afetadas.
Registre o que exige avaliação técnica.
A última imagem reúne os quatro pontos. Qual restrição costuma aparecer tarde na discussão?</x:t>
  </x:si>
  <x:si>
    <x:t xml:space="preserve">Na próxima conversa sobre restrições de projeto, leve este checklist:
Liste as condições informadas.
Confirme a origem de cada condição.
Verifique quais opções são afetadas.
Registre o que exige avaliação técnica.
A última imagem reúne os quatro pontos. Qual restrição costuma aparecer tarde na discussão?
#BIM #ConstrucaoDigital #Engenharia #Arxis</x:t>
  </x:si>
  <x:si>
    <x:t xml:space="preserve">Qual restrição costuma aparecer tarde na discussão?</x:t>
  </x:si>
  <x:si>
    <x:t xml:space="preserve">Peça única. Título: Qual restrição costuma aparecer tarde na discussão?
Apoio: Uma pergunta para quem trabalha com projetos e obras.
Chamada: Responda nos comentários. Rodapé: @arxis.bim.</x:t>
  </x:si>
  <x:si>
    <x:t xml:space="preserve">Qual restrição costuma aparecer tarde na discussão?
Ao longo da semana, tratamos de restrições de projeto com um exemplo e um checklist. Agora queremos ouvir como essa situação aparece no seu trabalho.
Responda nos comentários e conte uma dificuldade ou um aprendizado.
#Arxis #BIM #Projetos</x:t>
  </x:si>
  <x:si>
    <x:t xml:space="preserve">Qual restrição costuma aparecer tarde na discussão?
Depois do exemplo e do checklist desta semana, queremos ouvir sua experiência. Como sua equipe lida com restrições de projeto? Responda nos comentários.</x:t>
  </x:si>
  <x:si>
    <x:t xml:space="preserve">Qual restrição costuma aparecer tarde na discussão?
Depois do exemplo e do checklist desta semana, queremos ouvir sua experiência. Como sua equipe lida com restrições de projeto? Responda nos comentários.
#BIM #ConstrucaoDigital #Engenharia #Arxis</x:t>
  </x:si>
  <x:si>
    <x:t xml:space="preserve">A alternativa atende à rotina de quem usa?</x:t>
  </x:si>
  <x:si>
    <x:t xml:space="preserve">1. Capa: A alternativa atende à rotina de quem usa?
2. Comece pela pergunta: Descreva as atividades esperadas antes de discutir a organização de um ambiente. Cenários de uso ajudam a formular perguntas para quem conhece a operação.
3. Dê contexto ao exemplo: Duas disposições ilustrativas de mobiliário para a rotina de uma pequena equipe.
4. Primeiro ponto a observar: Descreva as atividades.
5. O que precisa ser confirmado: Identifique os usuários.
6. Fecho: Quem participa da conversa sobre o uso do ambiente? Compartilhe com a equipe.</x:t>
  </x:si>
  <x:si>
    <x:t xml:space="preserve">Composição clara com uma imagem ilustrativa e rótulos curtos. Reservar o laranja para o ponto em análise. Exemplo desta semana: Duas disposições ilustrativas de mobiliário para a rotina de uma pequena equipe.</x:t>
  </x:si>
  <x:si>
    <x:t xml:space="preserve">A alternativa atende à rotina de quem usa?
Descreva as atividades esperadas antes de discutir a organização de um ambiente. Cenários de uso ajudam a formular perguntas para quem conhece a operação.
Nesta semana, o exemplo será: duas disposições ilustrativas de mobiliário para a rotina de uma pequena equipe.
Compartilhe com a equipe. Quem participa da conversa sobre o uso do ambiente?
#Arxis #Engenharia #GestaoDeProjetos</x:t>
  </x:si>
  <x:si>
    <x:t xml:space="preserve">A alternativa atende à rotina de quem usa?
Descreva as atividades esperadas antes de discutir a organização de um ambiente. Cenários de uso ajudam a formular perguntas para quem conhece a operação.
As imagens apresentam um exemplo para discutir com a equipe. Quem participa da conversa sobre o uso do ambiente?</x:t>
  </x:si>
  <x:si>
    <x:t xml:space="preserve">A alternativa atende à rotina de quem usa?
Descreva as atividades esperadas antes de discutir a organização de um ambiente. Cenários de uso ajudam a formular perguntas para quem conhece a operação.
As imagens apresentam um exemplo para discutir com a equipe. Quem participa da conversa sobre o uso do ambiente?
#BIM #ConstrucaoDigital #Engenharia #Arxis</x:t>
  </x:si>
  <x:si>
    <x:t xml:space="preserve">Uso dos espaços
na prática</x:t>
  </x:si>
  <x:si>
    <x:t xml:space="preserve">0 a 3 s: A alternativa atende à rotina de quem usa?
3 a 9 s: apresentar o exemplo: Duas disposições ilustrativas de mobiliário para a rotina de uma pequena equipe.
9 a 17 s: mostrar o primeiro passo: Descreva as atividades.
17 a 25 s: mostrar o segundo passo: Identifique os usuários.
25 a 32 s: concluir com a pergunta: Quem participa da conversa sobre o uso do ambiente?
32 a 35 s: Compartilhe com a equipe.</x:t>
  </x:si>
  <x:si>
    <x:t xml:space="preserve">Como você abordaria este exemplo de uso dos espaços?
No vídeo, usamos este exemplo: duas disposições ilustrativas de mobiliário para a rotina de uma pequena equipe.
Comece por dois passos:
1. Descreva as atividades.
2. Identifique os usuários.
Compartilhe com a equipe.
#Arxis #Engenharia #GestaoDeProjetos</x:t>
  </x:si>
  <x:si>
    <x:t xml:space="preserve">A alternativa atende à rotina de quem usa?
O vídeo usa este exemplo: duas disposições ilustrativas de mobiliário para a rotina de uma pequena equipe.
Comece por estas ações:
1. Descreva as atividades.
2. Identifique os usuários.
Compartilhe com a equipe.</x:t>
  </x:si>
  <x:si>
    <x:t xml:space="preserve">A alternativa atende à rotina de quem usa?
O vídeo usa este exemplo: duas disposições ilustrativas de mobiliário para a rotina de uma pequena equipe.
Comece por estas ações:
1. Descreva as atividades.
2. Identifique os usuários.
Compartilhe com a equipe.
#BIM #ConstrucaoDigital #Engenharia #Arxis</x:t>
  </x:si>
  <x:si>
    <x:t xml:space="preserve">Uso dos espaços
na prática
Como você abordaria este exemplo de uso dos espaços?
#BIM #Engenharia #Arquitetura #ConstrucaoDigital #Arxis</x:t>
  </x:si>
  <x:si>
    <x:t xml:space="preserve">Uso dos espaços
4 pontos para conferir</x:t>
  </x:si>
  <x:si>
    <x:t xml:space="preserve">1. Capa: Uso dos espaços
4 pontos para conferir
2. Descreva as atividades. Usar o mesmo exemplo da semana para mostrar este ponto.
3. Identifique os usuários. Usar o mesmo exemplo da semana para mostrar este ponto.
4. Anote os percursos esperados. Usar o mesmo exemplo da semana para mostrar este ponto.
5. Leve dúvidas a quem usa o espaço. Usar o mesmo exemplo da semana para mostrar este ponto.
6. Checklist completo com os quatro pontos. Fecho: Envie para a equipe.</x:t>
  </x:si>
  <x:si>
    <x:t xml:space="preserve">Quatro pontos para conversar sobre uso dos espaços:
1. Descreva as atividades.
2. Identifique os usuários.
3. Anote os percursos esperados.
4. Leve dúvidas a quem usa o espaço.
Use o roteiro no contexto da sua equipe e registre o que ainda depende de confirmação.
Envie para a equipe.
#Arxis #Engenharia #GestaoDeProjetos</x:t>
  </x:si>
  <x:si>
    <x:t xml:space="preserve">Na próxima conversa sobre uso dos espaços, leve este checklist:
Descreva as atividades.
Identifique os usuários.
Anote os percursos esperados.
Leve dúvidas a quem usa o espaço.
A última imagem reúne os quatro pontos. Quem participa da conversa sobre o uso do ambiente?</x:t>
  </x:si>
  <x:si>
    <x:t xml:space="preserve">Na próxima conversa sobre uso dos espaços, leve este checklist:
Descreva as atividades.
Identifique os usuários.
Anote os percursos esperados.
Leve dúvidas a quem usa o espaço.
A última imagem reúne os quatro pontos. Quem participa da conversa sobre o uso do ambiente?
#BIM #ConstrucaoDigital #Engenharia #Arxis</x:t>
  </x:si>
  <x:si>
    <x:t xml:space="preserve">Quem participa da conversa sobre o uso do ambiente?</x:t>
  </x:si>
  <x:si>
    <x:t xml:space="preserve">Peça única. Título: Quem participa da conversa sobre o uso do ambiente?
Apoio: Uma pergunta para quem trabalha com projetos e obras.
Chamada: Responda nos comentários. Rodapé: @arxis.bim.</x:t>
  </x:si>
  <x:si>
    <x:t xml:space="preserve">Quem participa da conversa sobre o uso do ambiente?
Ao longo da semana, tratamos de uso dos espaços com um exemplo e um checklist. Agora queremos ouvir como essa situação aparece no seu trabalho.
Responda nos comentários e conte uma dificuldade ou um aprendizado.
#Arxis #Engenharia #GestaoDeProjetos</x:t>
  </x:si>
  <x:si>
    <x:t xml:space="preserve">Quem participa da conversa sobre o uso do ambiente?
Depois do exemplo e do checklist desta semana, queremos ouvir sua experiência. Como sua equipe lida com uso dos espaços? Responda nos comentários.</x:t>
  </x:si>
  <x:si>
    <x:t xml:space="preserve">Quem participa da conversa sobre o uso do ambiente?
Depois do exemplo e do checklist desta semana, queremos ouvir sua experiência. Como sua equipe lida com uso dos espaços? Responda nos comentários.
#BIM #ConstrucaoDigital #Engenharia #Arxis</x:t>
  </x:si>
  <x:si>
    <x:t xml:space="preserve">1. Capa: O que está sendo assumido nesta opção?
2. Comece pela pergunta: Uma hipótese deve permanecer visível enquanto não foi confirmada. Separar premissa de informação verificada ajuda a entender os limites de uma escolha.
3. Dê contexto ao exemplo: Uma alternativa fictícia de layout que depende da confirmação de um requisito pelo contratante.
4. Primeiro ponto a observar: Liste as premissas.
5. O que precisa ser confirmado: Separe o que já foi confirmado.
6. Fecho: Qual premissa você gostaria de ter registrado antes? Conte sua experiência.</x:t>
  </x:si>
  <x:si>
    <x:t xml:space="preserve">Tipografia em destaque e ícones simples. Alternar com uma peça de fundo marinho na pergunta de sábado. Exemplo desta semana: Uma alternativa fictícia de layout que depende da confirmação de um requisito pelo contratante.</x:t>
  </x:si>
  <x:si>
    <x:t xml:space="preserve">O que está sendo assumido nesta opção?
Uma hipótese deve permanecer visível enquanto não foi confirmada. Separar premissa de informação verificada ajuda a entender os limites de uma escolha.
Nesta semana, o exemplo será: uma alternativa fictícia de layout que depende da confirmação de um requisito pelo contratante.
Conte sua experiência. Qual premissa você gostaria de ter registrado antes?
#Arxis #BIM #Arquitetura</x:t>
  </x:si>
  <x:si>
    <x:t xml:space="preserve">O que está sendo assumido nesta opção?
Uma hipótese deve permanecer visível enquanto não foi confirmada. Separar premissa de informação verificada ajuda a entender os limites de uma escolha.
As imagens apresentam um exemplo para discutir com a equipe. Qual premissa você gostaria de ter registrado antes?</x:t>
  </x:si>
  <x:si>
    <x:t xml:space="preserve">O que está sendo assumido nesta opção?
Uma hipótese deve permanecer visível enquanto não foi confirmada. Separar premissa de informação verificada ajuda a entender os limites de uma escolha.
As imagens apresentam um exemplo para discutir com a equipe. Qual premissa você gostaria de ter registrado antes?
#BIM #ConstrucaoDigital #Engenharia #Arxis</x:t>
  </x:si>
  <x:si>
    <x:t xml:space="preserve">Premissas das alternativas
na prática</x:t>
  </x:si>
  <x:si>
    <x:t xml:space="preserve">0 a 3 s: O que está sendo assumido nesta opção?
3 a 9 s: apresentar o exemplo: Uma alternativa fictícia de layout que depende da confirmação de um requisito pelo contratante.
9 a 17 s: mostrar o primeiro passo: Liste as premissas.
17 a 25 s: mostrar o segundo passo: Separe o que já foi confirmado.
25 a 32 s: concluir com a pergunta: Qual premissa você gostaria de ter registrado antes?
32 a 35 s: Envie CENARIO por mensagem.</x:t>
  </x:si>
  <x:si>
    <x:t xml:space="preserve">Uma pergunta de projeto pode orientar o que precisa ser observado.
No vídeo, usamos este exemplo: uma alternativa fictícia de layout que depende da confirmação de um requisito pelo contratante.
Comece por dois passos:
1. Liste as premissas.
2. Separe o que já foi confirmado.
Envie CENARIO por mensagem.
#Arxis #BIM #Arquitetura</x:t>
  </x:si>
  <x:si>
    <x:t xml:space="preserve">O que está sendo assumido nesta opção?
O vídeo usa este exemplo: uma alternativa fictícia de layout que depende da confirmação de um requisito pelo contratante.
Comece por estas ações:
1. Liste as premissas.
2. Separe o que já foi confirmado.
Envie CENARIO por mensagem à página.</x:t>
  </x:si>
  <x:si>
    <x:t xml:space="preserve">O que está sendo assumido nesta opção?
O vídeo usa este exemplo: uma alternativa fictícia de layout que depende da confirmação de um requisito pelo contratante.
Comece por estas ações:
1. Liste as premissas.
2. Separe o que já foi confirmado.
Envie CENARIO por mensagem aqui no LinkedIn.
#BIM #ConstrucaoDigital #Engenharia #Arxis</x:t>
  </x:si>
  <x:si>
    <x:t xml:space="preserve">Premissas das alternativas
na prática
Uma pergunta de projeto pode orientar o que precisa ser observado.
#BIM #Engenharia #Arquitetura #ConstrucaoDigital #Arxis</x:t>
  </x:si>
  <x:si>
    <x:t xml:space="preserve">Premissas das alternativas
4 pontos para conferir</x:t>
  </x:si>
  <x:si>
    <x:t xml:space="preserve">1. Capa: Premissas das alternativas
4 pontos para conferir
2. Liste as premissas. Usar o mesmo exemplo da semana para mostrar este ponto.
3. Separe o que já foi confirmado. Usar o mesmo exemplo da semana para mostrar este ponto.
4. Indique quem pode validar. Usar o mesmo exemplo da semana para mostrar este ponto.
5. Registre quando a opção deve ser revista. Usar o mesmo exemplo da semana para mostrar este ponto.
6. Checklist completo com os quatro pontos. Fecho: Use no próximo exemplo.</x:t>
  </x:si>
  <x:si>
    <x:t xml:space="preserve">Quatro pontos para conversar sobre premissas das alternativas:
1. Liste as premissas.
2. Separe o que já foi confirmado.
3. Indique quem pode validar.
4. Registre quando a opção deve ser revista.
Use o roteiro no contexto da sua equipe e registre o que ainda depende de confirmação.
Use no próximo exemplo.
#Arxis #BIM #Arquitetura</x:t>
  </x:si>
  <x:si>
    <x:t xml:space="preserve">Na próxima conversa sobre premissas das alternativas, leve este checklist:
Liste as premissas.
Separe o que já foi confirmado.
Indique quem pode validar.
Registre quando a opção deve ser revista.
A última imagem reúne os quatro pontos. Qual premissa você gostaria de ter registrado antes?</x:t>
  </x:si>
  <x:si>
    <x:t xml:space="preserve">Na próxima conversa sobre premissas das alternativas, leve este checklist:
Liste as premissas.
Separe o que já foi confirmado.
Indique quem pode validar.
Registre quando a opção deve ser revista.
A última imagem reúne os quatro pontos. Qual premissa você gostaria de ter registrado antes?
#BIM #ConstrucaoDigital #Engenharia #Arxis</x:t>
  </x:si>
  <x:si>
    <x:t xml:space="preserve">Qual é seu desafio
com premissas das alternativas?</x:t>
  </x:si>
  <x:si>
    <x:t xml:space="preserve">Peça única. Título: Qual é seu desafio
com premissas das alternativas?
Apoio: Conte sua área e a tarefa que deseja atender.
Chamada: Envie CENARIO por mensagem. Rodapé: @arxis.bim.</x:t>
  </x:si>
  <x:si>
    <x:t xml:space="preserve">Qual desafio de premissas das alternativas aparece no seu trabalho?
Conte sua área de atuação, o tipo de projeto e a tarefa que você precisa atender. Esse contexto ajuda a conversar sobre a Arxis e a aderência à sua rotina.
Envie CENARIO por mensagem.
#Arxis #BIM #Arquitetura</x:t>
  </x:si>
  <x:si>
    <x:t xml:space="preserve">Vamos conversar sobre premissas das alternativas no seu contexto?
Envie CENARIO por mensagem à página, contando sua área, o tipo de projeto e a tarefa que deseja atender. Assim podemos discutir a Arxis e os próximos passos.</x:t>
  </x:si>
  <x:si>
    <x:t xml:space="preserve">Vamos conversar sobre premissas das alternativas no seu contexto?
Envie CENARIO por mensagem aqui no LinkedIn, contando sua área, o tipo de projeto e a tarefa que deseja atender. Assim podemos discutir a Arxis e os próximos passos.
#BIM #ConstrucaoDigital #Engenharia #Arxis</x:t>
  </x:si>
  <x:si>
    <x:t xml:space="preserve">1. Capa: Qual informação a entrega precisa conter?
2. Comece pela pergunta: Os requisitos devem partir do uso previsto para a informação. Defina quais dados serão consultados e como a equipe vai conferir a entrega.
3. Dê contexto ao exemplo: Uma ficha ilustrativa com os campos que um responsável quer consultar sobre um equipamento.
4. Primeiro ponto a observar: Descreva o uso previsto.
5. O que precisa ser confirmado: Liste os dados necessários.
6. Fecho: Quem define os dados necessários no seu projeto? Salve para a próxima análise.</x:t>
  </x:si>
  <x:si>
    <x:t xml:space="preserve">Fundo branco, títulos em azul marinho e linhas de apoio em laranja. Usar um desenho técnico simples como exemplo. Exemplo desta semana: Uma ficha ilustrativa com os campos que um responsável quer consultar sobre um equipamento.</x:t>
  </x:si>
  <x:si>
    <x:t xml:space="preserve">Qual informação a entrega precisa conter?
Os requisitos devem partir do uso previsto para a informação. Defina quais dados serão consultados e como a equipe vai conferir a entrega.
Nesta semana, o exemplo será: uma ficha ilustrativa com os campos que um responsável quer consultar sobre um equipamento.
Salve para a próxima análise. Quem define os dados necessários no seu projeto?
#Arxis #BIM #ConstrucaoDigital</x:t>
  </x:si>
  <x:si>
    <x:t xml:space="preserve">Qual informação a entrega precisa conter?
Os requisitos devem partir do uso previsto para a informação. Defina quais dados serão consultados e como a equipe vai conferir a entrega.
As imagens apresentam um exemplo para discutir com a equipe. Quem define os dados necessários no seu projeto?</x:t>
  </x:si>
  <x:si>
    <x:t xml:space="preserve">Qual informação a entrega precisa conter?
Os requisitos devem partir do uso previsto para a informação. Defina quais dados serão consultados e como a equipe vai conferir a entrega.
As imagens apresentam um exemplo para discutir com a equipe. Quem define os dados necessários no seu projeto?
#BIM #ConstrucaoDigital #Engenharia #Arxis</x:t>
  </x:si>
  <x:si>
    <x:t xml:space="preserve">Requisitos de informação
na prática</x:t>
  </x:si>
  <x:si>
    <x:t xml:space="preserve">0 a 3 s: Qual informação a entrega precisa conter?
3 a 9 s: apresentar o exemplo: Uma ficha ilustrativa com os campos que um responsável quer consultar sobre um equipamento.
9 a 17 s: mostrar o primeiro passo: Descreva o uso previsto.
17 a 25 s: mostrar o segundo passo: Liste os dados necessários.
25 a 32 s: concluir com a pergunta: Quem define os dados necessários no seu projeto?
32 a 35 s: Salve este exemplo.</x:t>
  </x:si>
  <x:si>
    <x:t xml:space="preserve">Vamos olhar para requisitos de informação em uma situação concreta.
No vídeo, usamos este exemplo: uma ficha ilustrativa com os campos que um responsável quer consultar sobre um equipamento.
Comece por dois passos:
1. Descreva o uso previsto.
2. Liste os dados necessários.
Salve este exemplo.
#Arxis #BIM #ConstrucaoDigital</x:t>
  </x:si>
  <x:si>
    <x:t xml:space="preserve">Qual informação a entrega precisa conter?
O vídeo usa este exemplo: uma ficha ilustrativa com os campos que um responsável quer consultar sobre um equipamento.
Comece por estas ações:
1. Descreva o uso previsto.
2. Liste os dados necessários.
Salve este exemplo.</x:t>
  </x:si>
  <x:si>
    <x:t xml:space="preserve">Qual informação a entrega precisa conter?
O vídeo usa este exemplo: uma ficha ilustrativa com os campos que um responsável quer consultar sobre um equipamento.
Comece por estas ações:
1. Descreva o uso previsto.
2. Liste os dados necessários.
Salve este exemplo.
#BIM #ConstrucaoDigital #Engenharia #Arxis</x:t>
  </x:si>
  <x:si>
    <x:t xml:space="preserve">Requisitos de informação
na prática
Vamos olhar para requisitos de informação em uma situação concreta.
#BIM #Engenharia #Arquitetura #ConstrucaoDigital #Arxis</x:t>
  </x:si>
  <x:si>
    <x:t xml:space="preserve">Requisitos de informação
4 pontos para conferir</x:t>
  </x:si>
  <x:si>
    <x:t xml:space="preserve">1. Capa: Requisitos de informação
4 pontos para conferir
2. Descreva o uso previsto. Usar o mesmo exemplo da semana para mostrar este ponto.
3. Liste os dados necessários. Usar o mesmo exemplo da semana para mostrar este ponto.
4. Combine quem preenche. Usar o mesmo exemplo da semana para mostrar este ponto.
5. Defina como conferir a entrega. Usar o mesmo exemplo da semana para mostrar este ponto.
6. Checklist completo com os quatro pontos. Fecho: Salve o checklist.</x:t>
  </x:si>
  <x:si>
    <x:t xml:space="preserve">Quatro pontos para conversar sobre requisitos de informação:
1. Descreva o uso previsto.
2. Liste os dados necessários.
3. Combine quem preenche.
4. Defina como conferir a entrega.
Use o roteiro no contexto da sua equipe e registre o que ainda depende de confirmação.
Salve o checklist.
#Arxis #BIM #ConstrucaoDigital</x:t>
  </x:si>
  <x:si>
    <x:t xml:space="preserve">Na próxima conversa sobre requisitos de informação, leve este checklist:
Descreva o uso previsto.
Liste os dados necessários.
Combine quem preenche.
Defina como conferir a entrega.
A última imagem reúne os quatro pontos. Quem define os dados necessários no seu projeto?</x:t>
  </x:si>
  <x:si>
    <x:t xml:space="preserve">Na próxima conversa sobre requisitos de informação, leve este checklist:
Descreva o uso previsto.
Liste os dados necessários.
Combine quem preenche.
Defina como conferir a entrega.
A última imagem reúne os quatro pontos. Quem define os dados necessários no seu projeto?
#BIM #ConstrucaoDigital #Engenharia #Arxis</x:t>
  </x:si>
  <x:si>
    <x:t xml:space="preserve">Quem define os dados necessários no seu projeto?</x:t>
  </x:si>
  <x:si>
    <x:t xml:space="preserve">Peça única. Título: Quem define os dados necessários no seu projeto?
Apoio: Uma pergunta para quem trabalha com projetos e obras.
Chamada: Responda nos comentários. Rodapé: @arxis.bim.</x:t>
  </x:si>
  <x:si>
    <x:t xml:space="preserve">Quem define os dados necessários no seu projeto?
Ao longo da semana, tratamos de requisitos de informação com um exemplo e um checklist. Agora queremos ouvir como essa situação aparece no seu trabalho.
Responda nos comentários e conte uma dificuldade ou um aprendizado.
#Arxis #BIM #ConstrucaoDigital</x:t>
  </x:si>
  <x:si>
    <x:t xml:space="preserve">Quem define os dados necessários no seu projeto?
Depois do exemplo e do checklist desta semana, queremos ouvir sua experiência. Como sua equipe lida com requisitos de informação? Responda nos comentários.</x:t>
  </x:si>
  <x:si>
    <x:t xml:space="preserve">Quem define os dados necessários no seu projeto?
Depois do exemplo e do checklist desta semana, queremos ouvir sua experiência. Como sua equipe lida com requisitos de informação? Responda nos comentários.
#BIM #ConstrucaoDigital #Engenharia #Arxis</x:t>
  </x:si>
  <x:si>
    <x:t xml:space="preserve">Campo vazio e valor zero significam a mesma coisa?</x:t>
  </x:si>
  <x:si>
    <x:t xml:space="preserve">1. Capa: Campo vazio e valor zero significam a mesma coisa?
2. Comece pela pergunta: Um campo sem informação precisa ser identificado como pendente ou não aplicável conforme o acordo do projeto. Preencher zero sem contexto pode mudar a interpretação.
3. Dê contexto ao exemplo: Duas fichas didáticas de elementos: uma com campo vazio e outra com zero informado.
4. Primeiro ponto a observar: Identifique o campo vazio.
5. O que precisa ser confirmado: Confira a regra de preenchimento.
6. Fecho: Como vocês tratam um dado ainda não informado? Envie para quem revisa com você.</x:t>
  </x:si>
  <x:si>
    <x:t xml:space="preserve">Fundo claro, cartões de informação e números em azul. Usar o símbolo da Arxis em posição consistente. Exemplo desta semana: Duas fichas didáticas de elementos: uma com campo vazio e outra com zero informado.</x:t>
  </x:si>
  <x:si>
    <x:t xml:space="preserve">Campo vazio e valor zero significam a mesma coisa?
Um campo sem informação precisa ser identificado como pendente ou não aplicável conforme o acordo do projeto. Preencher zero sem contexto pode mudar a interpretação.
Nesta semana, o exemplo será: duas fichas didáticas de elementos: uma com campo vazio e outra com zero informado.
Envie para quem revisa com você. Como vocês tratam um dado ainda não informado?
#Arxis #BIM #Projetos</x:t>
  </x:si>
  <x:si>
    <x:t xml:space="preserve">Campo vazio e valor zero significam a mesma coisa?
Um campo sem informação precisa ser identificado como pendente ou não aplicável conforme o acordo do projeto. Preencher zero sem contexto pode mudar a interpretação.
As imagens apresentam um exemplo para discutir com a equipe. Como vocês tratam um dado ainda não informado?</x:t>
  </x:si>
  <x:si>
    <x:t xml:space="preserve">Campo vazio e valor zero significam a mesma coisa?
Um campo sem informação precisa ser identificado como pendente ou não aplicável conforme o acordo do projeto. Preencher zero sem contexto pode mudar a interpretação.
As imagens apresentam um exemplo para discutir com a equipe. Como vocês tratam um dado ainda não informado?
#BIM #ConstrucaoDigital #Engenharia #Arxis</x:t>
  </x:si>
  <x:si>
    <x:t xml:space="preserve">Campos sem preenchimento
na prática</x:t>
  </x:si>
  <x:si>
    <x:t xml:space="preserve">0 a 3 s: Campo vazio e valor zero significam a mesma coisa?
3 a 9 s: apresentar o exemplo: Duas fichas didáticas de elementos: uma com campo vazio e outra com zero informado.
9 a 17 s: mostrar o primeiro passo: Identifique o campo vazio.
17 a 25 s: mostrar o segundo passo: Confira a regra de preenchimento.
25 a 32 s: concluir com a pergunta: Como vocês tratam um dado ainda não informado?
32 a 35 s: Envie sua dúvida.</x:t>
  </x:si>
  <x:si>
    <x:t xml:space="preserve">Campo vazio e valor zero significam a mesma coisa?
No vídeo, usamos este exemplo: duas fichas didáticas de elementos: uma com campo vazio e outra com zero informado.
Comece por dois passos:
1. Identifique o campo vazio.
2. Confira a regra de preenchimento.
Envie sua dúvida.
#Arxis #BIM #Projetos</x:t>
  </x:si>
  <x:si>
    <x:t xml:space="preserve">Campo vazio e valor zero significam a mesma coisa?
O vídeo usa este exemplo: duas fichas didáticas de elementos: uma com campo vazio e outra com zero informado.
Comece por estas ações:
1. Identifique o campo vazio.
2. Confira a regra de preenchimento.
Envie sua dúvida.</x:t>
  </x:si>
  <x:si>
    <x:t xml:space="preserve">Campo vazio e valor zero significam a mesma coisa?
O vídeo usa este exemplo: duas fichas didáticas de elementos: uma com campo vazio e outra com zero informado.
Comece por estas ações:
1. Identifique o campo vazio.
2. Confira a regra de preenchimento.
Envie sua dúvida.
#BIM #ConstrucaoDigital #Engenharia #Arxis</x:t>
  </x:si>
  <x:si>
    <x:t xml:space="preserve">Campos sem preenchimento
na prática
Campo vazio e valor zero significam a mesma coisa?
#BIM #Engenharia #Arquitetura #ConstrucaoDigital #Arxis</x:t>
  </x:si>
  <x:si>
    <x:t xml:space="preserve">Campos sem preenchimento
4 pontos para conferir</x:t>
  </x:si>
  <x:si>
    <x:t xml:space="preserve">1. Capa: Campos sem preenchimento
4 pontos para conferir
2. Identifique o campo vazio. Usar o mesmo exemplo da semana para mostrar este ponto.
3. Confira a regra de preenchimento. Usar o mesmo exemplo da semana para mostrar este ponto.
4. Diferencie ausência de zero. Usar o mesmo exemplo da semana para mostrar este ponto.
5. Encaminhe a pendência ao responsável. Usar o mesmo exemplo da semana para mostrar este ponto.
6. Checklist completo com os quatro pontos. Fecho: Leve para a próxima reunião.</x:t>
  </x:si>
  <x:si>
    <x:t xml:space="preserve">Quatro pontos para conversar sobre campos sem preenchimento:
1. Identifique o campo vazio.
2. Confira a regra de preenchimento.
3. Diferencie ausência de zero.
4. Encaminhe a pendência ao responsável.
Use o roteiro no contexto da sua equipe e registre o que ainda depende de confirmação.
Leve para a próxima reunião.
#Arxis #BIM #Projetos</x:t>
  </x:si>
  <x:si>
    <x:t xml:space="preserve">Na próxima conversa sobre campos sem preenchimento, leve este checklist:
Identifique o campo vazio.
Confira a regra de preenchimento.
Diferencie ausência de zero.
Encaminhe a pendência ao responsável.
A última imagem reúne os quatro pontos. Como vocês tratam um dado ainda não informado?</x:t>
  </x:si>
  <x:si>
    <x:t xml:space="preserve">Na próxima conversa sobre campos sem preenchimento, leve este checklist:
Identifique o campo vazio.
Confira a regra de preenchimento.
Diferencie ausência de zero.
Encaminhe a pendência ao responsável.
A última imagem reúne os quatro pontos. Como vocês tratam um dado ainda não informado?
#BIM #ConstrucaoDigital #Engenharia #Arxis</x:t>
  </x:si>
  <x:si>
    <x:t xml:space="preserve">Como vocês tratam um dado ainda não informado?</x:t>
  </x:si>
  <x:si>
    <x:t xml:space="preserve">Peça única. Título: Como vocês tratam um dado ainda não informado?
Apoio: Uma pergunta para quem trabalha com projetos e obras.
Chamada: Responda nos comentários. Rodapé: @arxis.bim.</x:t>
  </x:si>
  <x:si>
    <x:t xml:space="preserve">Como vocês tratam um dado ainda não informado?
Ao longo da semana, tratamos de campos sem preenchimento com um exemplo e um checklist. Agora queremos ouvir como essa situação aparece no seu trabalho.
Responda nos comentários e conte uma dificuldade ou um aprendizado.
#Arxis #BIM #Projetos</x:t>
  </x:si>
  <x:si>
    <x:t xml:space="preserve">Como vocês tratam um dado ainda não informado?
Depois do exemplo e do checklist desta semana, queremos ouvir sua experiência. Como sua equipe lida com campos sem preenchimento? Responda nos comentários.</x:t>
  </x:si>
  <x:si>
    <x:t xml:space="preserve">Como vocês tratam um dado ainda não informado?
Depois do exemplo e do checklist desta semana, queremos ouvir sua experiência. Como sua equipe lida com campos sem preenchimento? Responda nos comentários.
#BIM #ConstrucaoDigital #Engenharia #Arxis</x:t>
  </x:si>
  <x:si>
    <x:t xml:space="preserve">1. Capa: Este número representa exatamente o quê?
2. Comece pela pergunta: Um valor deve ser lido com sua grandeza e unidade. Antes de reutilizá-lo, confirme o campo de origem e o contexto em que foi produzido.
3. Dê contexto ao exemplo: Uma ficha ilustrativa com medidas exibidas em unidades diferentes.
4. Primeiro ponto a observar: Identifique a grandeza.
5. O que precisa ser confirmado: Confira a unidade.
6. Fecho: Qual confusão de unidade você já precisou esclarecer? Compartilhe com a equipe.</x:t>
  </x:si>
  <x:si>
    <x:t xml:space="preserve">Composição clara com uma imagem ilustrativa e rótulos curtos. Reservar o laranja para o ponto em análise. Exemplo desta semana: Uma ficha ilustrativa com medidas exibidas em unidades diferentes, sem cálculo estrutural.</x:t>
  </x:si>
  <x:si>
    <x:t xml:space="preserve">Este número representa exatamente o quê?
Um valor deve ser lido com sua grandeza e unidade. Antes de reutilizá-lo, confirme o campo de origem e o contexto em que foi produzido.
Nesta semana, o exemplo será: uma ficha ilustrativa com medidas exibidas em unidades diferentes.
Compartilhe com a equipe. Qual confusão de unidade você já precisou esclarecer?
#Arxis #Engenharia #GestaoDeProjetos</x:t>
  </x:si>
  <x:si>
    <x:t xml:space="preserve">Este número representa exatamente o quê?
Um valor deve ser lido com sua grandeza e unidade. Antes de reutilizá-lo, confirme o campo de origem e o contexto em que foi produzido.
As imagens apresentam um exemplo para discutir com a equipe. Qual confusão de unidade você já precisou esclarecer?</x:t>
  </x:si>
  <x:si>
    <x:t xml:space="preserve">Este número representa exatamente o quê?
Um valor deve ser lido com sua grandeza e unidade. Antes de reutilizá-lo, confirme o campo de origem e o contexto em que foi produzido.
As imagens apresentam um exemplo para discutir com a equipe. Qual confusão de unidade você já precisou esclarecer?
#BIM #ConstrucaoDigital #Engenharia #Arxis</x:t>
  </x:si>
  <x:si>
    <x:t xml:space="preserve">Unidades e significado
na prática</x:t>
  </x:si>
  <x:si>
    <x:t xml:space="preserve">0 a 3 s: Este número representa exatamente o quê?
3 a 9 s: apresentar o exemplo: Uma ficha ilustrativa com medidas exibidas em unidades diferentes.
9 a 17 s: mostrar o primeiro passo: Identifique a grandeza.
17 a 25 s: mostrar o segundo passo: Confira a unidade.
25 a 32 s: concluir com a pergunta: Qual confusão de unidade você já precisou esclarecer?
32 a 35 s: Compartilhe com a equipe.</x:t>
  </x:si>
  <x:si>
    <x:t xml:space="preserve">Como você abordaria este exemplo de unidades e significado?
No vídeo, usamos este exemplo: uma ficha ilustrativa com medidas exibidas em unidades diferentes.
Comece por dois passos:
1. Identifique a grandeza.
2. Confira a unidade.
Compartilhe com a equipe.
#Arxis #Engenharia #GestaoDeProjetos</x:t>
  </x:si>
  <x:si>
    <x:t xml:space="preserve">Este número representa exatamente o quê?
O vídeo usa este exemplo: uma ficha ilustrativa com medidas exibidas em unidades diferentes.
Comece por estas ações:
1. Identifique a grandeza.
2. Confira a unidade.
Compartilhe com a equipe.</x:t>
  </x:si>
  <x:si>
    <x:t xml:space="preserve">Este número representa exatamente o quê?
O vídeo usa este exemplo: uma ficha ilustrativa com medidas exibidas em unidades diferentes.
Comece por estas ações:
1. Identifique a grandeza.
2. Confira a unidade.
Compartilhe com a equipe.
#BIM #ConstrucaoDigital #Engenharia #Arxis</x:t>
  </x:si>
  <x:si>
    <x:t xml:space="preserve">Unidades e significado
na prática
Como você abordaria este exemplo de unidades e significado?
#BIM #Engenharia #Arquitetura #ConstrucaoDigital #Arxis</x:t>
  </x:si>
  <x:si>
    <x:t xml:space="preserve">Unidades e significado
4 pontos para conferir</x:t>
  </x:si>
  <x:si>
    <x:t xml:space="preserve">1. Capa: Unidades e significado
4 pontos para conferir
2. Identifique a grandeza. Usar o mesmo exemplo da semana para mostrar este ponto.
3. Confira a unidade. Usar o mesmo exemplo da semana para mostrar este ponto.
4. Confirme a origem do valor. Usar o mesmo exemplo da semana para mostrar este ponto.
5. Documente a convenção usada. Usar o mesmo exemplo da semana para mostrar este ponto.
6. Checklist completo com os quatro pontos. Fecho: Envie para a equipe.</x:t>
  </x:si>
  <x:si>
    <x:t xml:space="preserve">Quatro pontos para conversar sobre unidades e significado:
1. Identifique a grandeza.
2. Confira a unidade.
3. Confirme a origem do valor.
4. Documente a convenção usada.
Use o roteiro no contexto da sua equipe e registre o que ainda depende de confirmação.
Envie para a equipe.
#Arxis #Engenharia #GestaoDeProjetos</x:t>
  </x:si>
  <x:si>
    <x:t xml:space="preserve">Na próxima conversa sobre unidades e significado, leve este checklist:
Identifique a grandeza.
Confira a unidade.
Confirme a origem do valor.
Documente a convenção usada.
A última imagem reúne os quatro pontos. Qual confusão de unidade você já precisou esclarecer?</x:t>
  </x:si>
  <x:si>
    <x:t xml:space="preserve">Na próxima conversa sobre unidades e significado, leve este checklist:
Identifique a grandeza.
Confira a unidade.
Confirme a origem do valor.
Documente a convenção usada.
A última imagem reúne os quatro pontos. Qual confusão de unidade você já precisou esclarecer?
#BIM #ConstrucaoDigital #Engenharia #Arxis</x:t>
  </x:si>
  <x:si>
    <x:t xml:space="preserve">Qual confusão de unidade você já precisou esclarecer?</x:t>
  </x:si>
  <x:si>
    <x:t xml:space="preserve">Peça única. Título: Qual confusão de unidade você já precisou esclarecer?
Apoio: Uma pergunta para quem trabalha com projetos e obras.
Chamada: Responda nos comentários. Rodapé: @arxis.bim.</x:t>
  </x:si>
  <x:si>
    <x:t xml:space="preserve">Qual confusão de unidade você já precisou esclarecer?
Ao longo da semana, tratamos de unidades e significado com um exemplo e um checklist. Agora queremos ouvir como essa situação aparece no seu trabalho.
Responda nos comentários e conte uma dificuldade ou um aprendizado.
#Arxis #Engenharia #GestaoDeProjetos</x:t>
  </x:si>
  <x:si>
    <x:t xml:space="preserve">Qual confusão de unidade você já precisou esclarecer?
Depois do exemplo e do checklist desta semana, queremos ouvir sua experiência. Como sua equipe lida com unidades e significado? Responda nos comentários.</x:t>
  </x:si>
  <x:si>
    <x:t xml:space="preserve">Qual confusão de unidade você já precisou esclarecer?
Depois do exemplo e do checklist desta semana, queremos ouvir sua experiência. Como sua equipe lida com unidades e significado? Responda nos comentários.
#BIM #ConstrucaoDigital #Engenharia #Arxis</x:t>
  </x:si>
  <x:si>
    <x:t xml:space="preserve">A equipe chama o mesmo elemento pelo mesmo nome?</x:t>
  </x:si>
  <x:si>
    <x:t xml:space="preserve">1. Capa: A equipe chama o mesmo elemento pelo mesmo nome?
2. Comece pela pergunta: Combinar termos e categorias facilita a conversa sobre os dados. A escolha deve seguir o uso do projeto e o sistema de classificação adotado pela equipe.
3. Dê contexto ao exemplo: Três registros fictícios do mesmo tipo de elemento com nomes diferentes.
4. Primeiro ponto a observar: Identifique os termos usados.
5. O que precisa ser confirmado: Escolha a referência de classificação.
6. Fecho: Qual termo costuma ter interpretações diferentes? Conte sua experiência.</x:t>
  </x:si>
  <x:si>
    <x:t xml:space="preserve">Tipografia em destaque e ícones simples. Alternar com uma peça de fundo marinho na pergunta de sábado. Exemplo desta semana: Três registros fictícios do mesmo tipo de elemento com nomes diferentes.</x:t>
  </x:si>
  <x:si>
    <x:t xml:space="preserve">A equipe chama o mesmo elemento pelo mesmo nome?
Combinar termos e categorias facilita a conversa sobre os dados. A escolha deve seguir o uso do projeto e o sistema de classificação adotado pela equipe.
Nesta semana, o exemplo será: três registros fictícios do mesmo tipo de elemento com nomes diferentes.
Conte sua experiência. Qual termo costuma ter interpretações diferentes?
#Arxis #BIM #Arquitetura</x:t>
  </x:si>
  <x:si>
    <x:t xml:space="preserve">A equipe chama o mesmo elemento pelo mesmo nome?
Combinar termos e categorias facilita a conversa sobre os dados. A escolha deve seguir o uso do projeto e o sistema de classificação adotado pela equipe.
As imagens apresentam um exemplo para discutir com a equipe. Qual termo costuma ter interpretações diferentes?</x:t>
  </x:si>
  <x:si>
    <x:t xml:space="preserve">A equipe chama o mesmo elemento pelo mesmo nome?
Combinar termos e categorias facilita a conversa sobre os dados. A escolha deve seguir o uso do projeto e o sistema de classificação adotado pela equipe.
As imagens apresentam um exemplo para discutir com a equipe. Qual termo costuma ter interpretações diferentes?
#BIM #ConstrucaoDigital #Engenharia #Arxis</x:t>
  </x:si>
  <x:si>
    <x:t xml:space="preserve">Classificação dos elementos
na prática</x:t>
  </x:si>
  <x:si>
    <x:t xml:space="preserve">0 a 3 s: A equipe chama o mesmo elemento pelo mesmo nome?
3 a 9 s: apresentar o exemplo: Três registros fictícios do mesmo tipo de elemento com nomes diferentes.
9 a 17 s: mostrar o primeiro passo: Identifique os termos usados.
17 a 25 s: mostrar o segundo passo: Escolha a referência de classificação.
25 a 32 s: concluir com a pergunta: Qual termo costuma ter interpretações diferentes?
32 a 35 s: Envie DADOS por mensagem.</x:t>
  </x:si>
  <x:si>
    <x:t xml:space="preserve">Uma pergunta de projeto pode orientar o que precisa ser observado.
No vídeo, usamos este exemplo: três registros fictícios do mesmo tipo de elemento com nomes diferentes.
Comece por dois passos:
1. Identifique os termos usados.
2. Escolha a referência de classificação.
Envie DADOS por mensagem.
#Arxis #BIM #Arquitetura</x:t>
  </x:si>
  <x:si>
    <x:t xml:space="preserve">A equipe chama o mesmo elemento pelo mesmo nome?
O vídeo usa este exemplo: três registros fictícios do mesmo tipo de elemento com nomes diferentes.
Comece por estas ações:
1. Identifique os termos usados.
2. Escolha a referência de classificação.
Envie DADOS por mensagem à página.</x:t>
  </x:si>
  <x:si>
    <x:t xml:space="preserve">A equipe chama o mesmo elemento pelo mesmo nome?
O vídeo usa este exemplo: três registros fictícios do mesmo tipo de elemento com nomes diferentes.
Comece por estas ações:
1. Identifique os termos usados.
2. Escolha a referência de classificação.
Envie DADOS por mensagem aqui no LinkedIn.
#BIM #ConstrucaoDigital #Engenharia #Arxis</x:t>
  </x:si>
  <x:si>
    <x:t xml:space="preserve">Classificação dos elementos
na prática
Uma pergunta de projeto pode orientar o que precisa ser observado.
#BIM #Engenharia #Arquitetura #ConstrucaoDigital #Arxis</x:t>
  </x:si>
  <x:si>
    <x:t xml:space="preserve">Classificação dos elementos
4 pontos para conferir</x:t>
  </x:si>
  <x:si>
    <x:t xml:space="preserve">1. Capa: Classificação dos elementos
4 pontos para conferir
2. Identifique os termos usados. Usar o mesmo exemplo da semana para mostrar este ponto.
3. Escolha a referência de classificação. Usar o mesmo exemplo da semana para mostrar este ponto.
4. Documente o significado. Usar o mesmo exemplo da semana para mostrar este ponto.
5. Confira exemplos com a equipe. Usar o mesmo exemplo da semana para mostrar este ponto.
6. Checklist completo com os quatro pontos. Fecho: Use no próximo exemplo.</x:t>
  </x:si>
  <x:si>
    <x:t xml:space="preserve">Quatro pontos para conversar sobre classificação dos elementos:
1. Identifique os termos usados.
2. Escolha a referência de classificação.
3. Documente o significado.
4. Confira exemplos com a equipe.
Use o roteiro no contexto da sua equipe e registre o que ainda depende de confirmação.
Use no próximo exemplo.
#Arxis #BIM #Arquitetura</x:t>
  </x:si>
  <x:si>
    <x:t xml:space="preserve">Na próxima conversa sobre classificação dos elementos, leve este checklist:
Identifique os termos usados.
Escolha a referência de classificação.
Documente o significado.
Confira exemplos com a equipe.
A última imagem reúne os quatro pontos. Qual termo costuma ter interpretações diferentes?</x:t>
  </x:si>
  <x:si>
    <x:t xml:space="preserve">Na próxima conversa sobre classificação dos elementos, leve este checklist:
Identifique os termos usados.
Escolha a referência de classificação.
Documente o significado.
Confira exemplos com a equipe.
A última imagem reúne os quatro pontos. Qual termo costuma ter interpretações diferentes?
#BIM #ConstrucaoDigital #Engenharia #Arxis</x:t>
  </x:si>
  <x:si>
    <x:t xml:space="preserve">Qual é seu desafio
com classificação dos elementos?</x:t>
  </x:si>
  <x:si>
    <x:t xml:space="preserve">Peça única. Título: Qual é seu desafio
com classificação dos elementos?
Apoio: Conte sua área e a tarefa que deseja atender.
Chamada: Envie DADOS por mensagem. Rodapé: @arxis.bim.</x:t>
  </x:si>
  <x:si>
    <x:t xml:space="preserve">Qual desafio de classificação dos elementos aparece no seu trabalho?
Conte sua área de atuação, o tipo de projeto e a tarefa que você precisa atender. Esse contexto ajuda a conversar sobre a Arxis e a aderência à sua rotina.
Envie DADOS por mensagem.
#Arxis #BIM #Arquitetura</x:t>
  </x:si>
  <x:si>
    <x:t xml:space="preserve">Vamos conversar sobre classificação dos elementos no seu contexto?
Envie DADOS por mensagem à página, contando sua área, o tipo de projeto e a tarefa que deseja atender. Assim podemos discutir a Arxis e os próximos passos.</x:t>
  </x:si>
  <x:si>
    <x:t xml:space="preserve">Vamos conversar sobre classificação dos elementos no seu contexto?
Envie DADOS por mensagem aqui no LinkedIn, contando sua área, o tipo de projeto e a tarefa que deseja atender. Assim podemos discutir a Arxis e os próximos passos.
#BIM #ConstrucaoDigital #Engenharia #Arxis</x:t>
  </x:si>
  <x:si>
    <x:t xml:space="preserve">1. Capa: O que conferir em uma troca com IFC?
2. Comece pela pergunta: Industry Foundation Classes é um padrão aberto para descrever informações da construção. Uma troca deve considerar o que o fluxo exige e o que as ferramentas envolvidas conseguem receber.
3. Dê contexto ao exemplo: Uma lista didática de itens esperados em uma troca de modelo.
4. Primeiro ponto a observar: Combine a finalidade da troca.
5. O que precisa ser confirmado: Confirme a implementação usada no fluxo.
6. Fecho: O que você confere primeiro depois de receber um IFC? Salve para a próxima análise.</x:t>
  </x:si>
  <x:si>
    <x:t xml:space="preserve">Fundo branco, títulos em azul marinho e linhas de apoio em laranja. Usar um desenho técnico simples como exemplo. Exemplo desta semana: Uma lista didática de itens esperados em uma troca de modelo, sem tela de importação da Arxis.</x:t>
  </x:si>
  <x:si>
    <x:t xml:space="preserve">O que conferir em uma troca com IFC?
Industry Foundation Classes é um padrão aberto para descrever informações da construção. Uma troca deve considerar o que o fluxo exige e o que as ferramentas envolvidas conseguem receber.
Nesta semana, o exemplo será: uma lista didática de itens esperados em uma troca de modelo.
Salve para a próxima análise. O que você confere primeiro depois de receber um IFC?
#Arxis #BIM #ConstrucaoDigital</x:t>
  </x:si>
  <x:si>
    <x:t xml:space="preserve">O que conferir em uma troca com IFC?
Industry Foundation Classes é um padrão aberto para descrever informações da construção. Uma troca deve considerar o que o fluxo exige e o que as ferramentas envolvidas conseguem receber.
As imagens apresentam um exemplo para discutir com a equipe. O que você confere primeiro depois de receber um IFC?</x:t>
  </x:si>
  <x:si>
    <x:t xml:space="preserve">O que conferir em uma troca com IFC?
Industry Foundation Classes é um padrão aberto para descrever informações da construção. Uma troca deve considerar o que o fluxo exige e o que as ferramentas envolvidas conseguem receber.
As imagens apresentam um exemplo para discutir com a equipe. O que você confere primeiro depois de receber um IFC?
#BIM #ConstrucaoDigital #Engenharia #Arxis</x:t>
  </x:si>
  <x:si>
    <x:t xml:space="preserve">Troca de modelos IFC
na prática</x:t>
  </x:si>
  <x:si>
    <x:t xml:space="preserve">0 a 3 s: O que conferir em uma troca com IFC?
3 a 9 s: apresentar o exemplo: Uma lista didática de itens esperados em uma troca de modelo.
9 a 17 s: mostrar o primeiro passo: Combine a finalidade da troca.
17 a 25 s: mostrar o segundo passo: Confirme a implementação usada no fluxo.
25 a 32 s: concluir com a pergunta: O que você confere primeiro depois de receber um IFC?
32 a 35 s: Salve este exemplo.</x:t>
  </x:si>
  <x:si>
    <x:t xml:space="preserve">Vamos olhar para troca de modelos IFC em uma situação concreta.
No vídeo, usamos este exemplo: uma lista didática de itens esperados em uma troca de modelo.
Comece por dois passos:
1. Combine a finalidade da troca.
2. Confirme a implementação usada no fluxo.
Salve este exemplo.
#Arxis #BIM #ConstrucaoDigital</x:t>
  </x:si>
  <x:si>
    <x:t xml:space="preserve">O que conferir em uma troca com IFC?
O vídeo usa este exemplo: uma lista didática de itens esperados em uma troca de modelo.
Comece por estas ações:
1. Combine a finalidade da troca.
2. Confirme a implementação usada no fluxo.
Salve este exemplo.</x:t>
  </x:si>
  <x:si>
    <x:t xml:space="preserve">O que conferir em uma troca com IFC?
O vídeo usa este exemplo: uma lista didática de itens esperados em uma troca de modelo.
Comece por estas ações:
1. Combine a finalidade da troca.
2. Confirme a implementação usada no fluxo.
Salve este exemplo.
#BIM #ConstrucaoDigital #Engenharia #Arxis</x:t>
  </x:si>
  <x:si>
    <x:t xml:space="preserve">Troca de modelos IFC
na prática
Vamos olhar para troca de modelos IFC em uma situação concreta.
#BIM #Engenharia #Arquitetura #ConstrucaoDigital #Arxis</x:t>
  </x:si>
  <x:si>
    <x:t xml:space="preserve">Troca de modelos IFC
4 pontos para conferir</x:t>
  </x:si>
  <x:si>
    <x:t xml:space="preserve">1. Capa: Troca de modelos IFC
4 pontos para conferir
2. Combine a finalidade da troca. Usar o mesmo exemplo da semana para mostrar este ponto.
3. Confirme a implementação usada no fluxo. Usar o mesmo exemplo da semana para mostrar este ponto.
4. Liste os dados esperados. Usar o mesmo exemplo da semana para mostrar este ponto.
5. Confira o arquivo recebido. Usar o mesmo exemplo da semana para mostrar este ponto.
6. Checklist completo com os quatro pontos. Fecho: Salve o checklist.</x:t>
  </x:si>
  <x:si>
    <x:t xml:space="preserve">Quatro pontos para conversar sobre troca de modelos IFC:
1. Combine a finalidade da troca.
2. Confirme a implementação usada no fluxo.
3. Liste os dados esperados.
4. Confira o arquivo recebido.
Use o roteiro no contexto da sua equipe e registre o que ainda depende de confirmação.
Salve o checklist.
#Arxis #BIM #ConstrucaoDigital</x:t>
  </x:si>
  <x:si>
    <x:t xml:space="preserve">Na próxima conversa sobre troca de modelos IFC, leve este checklist:
Combine a finalidade da troca.
Confirme a implementação usada no fluxo.
Liste os dados esperados.
Confira o arquivo recebido.
A última imagem reúne os quatro pontos. O que você confere primeiro depois de receber um IFC?</x:t>
  </x:si>
  <x:si>
    <x:t xml:space="preserve">Na próxima conversa sobre troca de modelos IFC, leve este checklist:
Combine a finalidade da troca.
Confirme a implementação usada no fluxo.
Liste os dados esperados.
Confira o arquivo recebido.
A última imagem reúne os quatro pontos. O que você confere primeiro depois de receber um IFC?
#BIM #ConstrucaoDigital #Engenharia #Arxis</x:t>
  </x:si>
  <x:si>
    <x:t xml:space="preserve">O que você confere primeiro depois de receber um IFC?</x:t>
  </x:si>
  <x:si>
    <x:t xml:space="preserve">Peça única. Título: O que você confere primeiro depois de receber um IFC?
Apoio: Uma pergunta para quem trabalha com projetos e obras.
Chamada: Responda nos comentários. Rodapé: @arxis.bim.</x:t>
  </x:si>
  <x:si>
    <x:t xml:space="preserve">O que você confere primeiro depois de receber um IFC?
Ao longo da semana, tratamos de troca de modelos IFC com um exemplo e um checklist. Agora queremos ouvir como essa situação aparece no seu trabalho.
Responda nos comentários e conte uma dificuldade ou um aprendizado.
#Arxis #BIM #ConstrucaoDigital</x:t>
  </x:si>
  <x:si>
    <x:t xml:space="preserve">O que você confere primeiro depois de receber um IFC?
Depois do exemplo e do checklist desta semana, queremos ouvir sua experiência. Como sua equipe lida com troca de modelos IFC? Responda nos comentários.</x:t>
  </x:si>
  <x:si>
    <x:t xml:space="preserve">O que você confere primeiro depois de receber um IFC?
Depois do exemplo e do checklist desta semana, queremos ouvir sua experiência. Como sua equipe lida com troca de modelos IFC? Responda nos comentários.
#BIM #ConstrucaoDigital #Engenharia #Arxis</x:t>
  </x:si>
  <x:si>
    <x:t xml:space="preserve">Como levar uma dúvida com o contexto do modelo?</x:t>
  </x:si>
  <x:si>
    <x:t xml:space="preserve">1. Capa: Como levar uma dúvida com o contexto do modelo?
2. Comece pela pergunta: BIM Collaboration Format é um padrão openBIM voltado à comunicação de assuntos e pendências relacionados ao modelo. O tema central é transportar a pergunta com referências úteis.
3. Dê contexto ao exemplo: Uma ficha didática com assunto, localização e comentário sobre um elemento.
4. Primeiro ponto a observar: Descreva o assunto.
5. O que precisa ser confirmado: Inclua a localização pertinente.
6. Fecho: Como você mantém a pergunta ligada ao contexto do modelo? Envie para quem revisa com você.</x:t>
  </x:si>
  <x:si>
    <x:t xml:space="preserve">Fundo claro, cartões de informação e números em azul. Usar o símbolo da Arxis em posição consistente. Exemplo desta semana: Uma ficha didática com assunto, localização e comentário sobre um elemento, sem simular integração.</x:t>
  </x:si>
  <x:si>
    <x:t xml:space="preserve">Como levar uma dúvida com o contexto do modelo?
BIM Collaboration Format é um padrão openBIM voltado à comunicação de assuntos e pendências relacionados ao modelo. O tema central é transportar a pergunta com referências úteis.
Nesta semana, o exemplo será: uma ficha didática com assunto, localização e comentário sobre um elemento.
Envie para quem revisa com você. Como você mantém a pergunta ligada ao contexto do modelo?
#Arxis #BIM #Projetos</x:t>
  </x:si>
  <x:si>
    <x:t xml:space="preserve">Como levar uma dúvida com o contexto do modelo?
BIM Collaboration Format é um padrão openBIM voltado à comunicação de assuntos e pendências relacionados ao modelo. O tema central é transportar a pergunta com referências úteis.
As imagens apresentam um exemplo para discutir com a equipe. Como você mantém a pergunta ligada ao contexto do modelo?</x:t>
  </x:si>
  <x:si>
    <x:t xml:space="preserve">Como levar uma dúvida com o contexto do modelo?
BIM Collaboration Format é um padrão openBIM voltado à comunicação de assuntos e pendências relacionados ao modelo. O tema central é transportar a pergunta com referências úteis.
As imagens apresentam um exemplo para discutir com a equipe. Como você mantém a pergunta ligada ao contexto do modelo?
#BIM #ConstrucaoDigital #Engenharia #Arxis</x:t>
  </x:si>
  <x:si>
    <x:t xml:space="preserve">Comunicação com BCF
na prática</x:t>
  </x:si>
  <x:si>
    <x:t xml:space="preserve">0 a 3 s: Como levar uma dúvida com o contexto do modelo?
3 a 9 s: apresentar o exemplo: Uma ficha didática com assunto, localização e comentário sobre um elemento.
9 a 17 s: mostrar o primeiro passo: Descreva o assunto.
17 a 25 s: mostrar o segundo passo: Inclua a localização pertinente.
25 a 32 s: concluir com a pergunta: Como você mantém a pergunta ligada ao contexto do modelo?
32 a 35 s: Envie sua dúvida.</x:t>
  </x:si>
  <x:si>
    <x:t xml:space="preserve">Como levar uma dúvida com o contexto do modelo?
No vídeo, usamos este exemplo: uma ficha didática com assunto, localização e comentário sobre um elemento.
Comece por dois passos:
1. Descreva o assunto.
2. Inclua a localização pertinente.
Envie sua dúvida.
#Arxis #BIM #Projetos</x:t>
  </x:si>
  <x:si>
    <x:t xml:space="preserve">Como levar uma dúvida com o contexto do modelo?
O vídeo usa este exemplo: uma ficha didática com assunto, localização e comentário sobre um elemento.
Comece por estas ações:
1. Descreva o assunto.
2. Inclua a localização pertinente.
Envie sua dúvida.</x:t>
  </x:si>
  <x:si>
    <x:t xml:space="preserve">Como levar uma dúvida com o contexto do modelo?
O vídeo usa este exemplo: uma ficha didática com assunto, localização e comentário sobre um elemento.
Comece por estas ações:
1. Descreva o assunto.
2. Inclua a localização pertinente.
Envie sua dúvida.
#BIM #ConstrucaoDigital #Engenharia #Arxis</x:t>
  </x:si>
  <x:si>
    <x:t xml:space="preserve">Comunicação com BCF
na prática
Como levar uma dúvida com o contexto do modelo?
#BIM #Engenharia #Arquitetura #ConstrucaoDigital #Arxis</x:t>
  </x:si>
  <x:si>
    <x:t xml:space="preserve">Comunicação com BCF
4 pontos para conferir</x:t>
  </x:si>
  <x:si>
    <x:t xml:space="preserve">1. Capa: Comunicação com BCF
4 pontos para conferir
2. Descreva o assunto. Usar o mesmo exemplo da semana para mostrar este ponto.
3. Inclua a localização pertinente. Usar o mesmo exemplo da semana para mostrar este ponto.
4. Formule o comentário ou pergunta. Usar o mesmo exemplo da semana para mostrar este ponto.
5. Combine responsáveis e acompanhamento. Usar o mesmo exemplo da semana para mostrar este ponto.
6. Checklist completo com os quatro pontos. Fecho: Leve para a próxima reunião.</x:t>
  </x:si>
  <x:si>
    <x:t xml:space="preserve">Quatro pontos para conversar sobre comunicação com BCF:
1. Descreva o assunto.
2. Inclua a localização pertinente.
3. Formule o comentário ou pergunta.
4. Combine responsáveis e acompanhamento.
Use o roteiro no contexto da sua equipe e registre o que ainda depende de confirmação.
Leve para a próxima reunião.
#Arxis #BIM #Projetos</x:t>
  </x:si>
  <x:si>
    <x:t xml:space="preserve">Na próxima conversa sobre comunicação com BCF, leve este checklist:
Descreva o assunto.
Inclua a localização pertinente.
Formule o comentário ou pergunta.
Combine responsáveis e acompanhamento.
A última imagem reúne os quatro pontos. Como você mantém a pergunta ligada ao contexto do modelo?</x:t>
  </x:si>
  <x:si>
    <x:t xml:space="preserve">Na próxima conversa sobre comunicação com BCF, leve este checklist:
Descreva o assunto.
Inclua a localização pertinente.
Formule o comentário ou pergunta.
Combine responsáveis e acompanhamento.
A última imagem reúne os quatro pontos. Como você mantém a pergunta ligada ao contexto do modelo?
#BIM #ConstrucaoDigital #Engenharia #Arxis</x:t>
  </x:si>
  <x:si>
    <x:t xml:space="preserve">Como você mantém a pergunta ligada ao contexto do modelo?</x:t>
  </x:si>
  <x:si>
    <x:t xml:space="preserve">Peça única. Título: Como você mantém a pergunta ligada ao contexto do modelo?
Apoio: Uma pergunta para quem trabalha com projetos e obras.
Chamada: Responda nos comentários. Rodapé: @arxis.bim.</x:t>
  </x:si>
  <x:si>
    <x:t xml:space="preserve">Como você mantém a pergunta ligada ao contexto do modelo?
Ao longo da semana, tratamos de comunicação com BCF com um exemplo e um checklist. Agora queremos ouvir como essa situação aparece no seu trabalho.
Responda nos comentários e conte uma dificuldade ou um aprendizado.
#Arxis #BIM #Projetos</x:t>
  </x:si>
  <x:si>
    <x:t xml:space="preserve">Como você mantém a pergunta ligada ao contexto do modelo?
Depois do exemplo e do checklist desta semana, queremos ouvir sua experiência. Como sua equipe lida com comunicação com BCF? Responda nos comentários.</x:t>
  </x:si>
  <x:si>
    <x:t xml:space="preserve">Como você mantém a pergunta ligada ao contexto do modelo?
Depois do exemplo e do checklist desta semana, queremos ouvir sua experiência. Como sua equipe lida com comunicação com BCF? Responda nos comentários.
#BIM #ConstrucaoDigital #Engenharia #Arxis</x:t>
  </x:si>
  <x:si>
    <x:t xml:space="preserve">1. Capa: O que combinar antes de enviar um modelo?
2. Comece pela pergunta: Defina o uso da entrega e as informações esperadas antes de exportar. Quem envia e quem recebe precisam compartilhar o mesmo entendimento do pedido.
3. Dê contexto ao exemplo: Uma conversa ilustrativa entre remetente e destinatário que vira uma lista de requisitos.
4. Primeiro ponto a observar: Defina quem vai receber.
5. O que precisa ser confirmado: Descreva o uso do arquivo.
6. Fecho: Qual acordo evitaria uma nova rodada de envio? Compartilhe com a equipe.</x:t>
  </x:si>
  <x:si>
    <x:t xml:space="preserve">Composição clara com uma imagem ilustrativa e rótulos curtos. Reservar o laranja para o ponto em análise. Exemplo desta semana: Uma conversa ilustrativa entre remetente e destinatário que vira uma lista de requisitos.</x:t>
  </x:si>
  <x:si>
    <x:t xml:space="preserve">O que combinar antes de enviar um modelo?
Defina o uso da entrega e as informações esperadas antes de exportar. Quem envia e quem recebe precisam compartilhar o mesmo entendimento do pedido.
Nesta semana, o exemplo será: uma conversa ilustrativa entre remetente e destinatário que vira uma lista de requisitos.
Compartilhe com a equipe. Qual acordo evitaria uma nova rodada de envio?
#Arxis #Engenharia #GestaoDeProjetos</x:t>
  </x:si>
  <x:si>
    <x:t xml:space="preserve">O que combinar antes de enviar um modelo?
Defina o uso da entrega e as informações esperadas antes de exportar. Quem envia e quem recebe precisam compartilhar o mesmo entendimento do pedido.
As imagens apresentam um exemplo para discutir com a equipe. Qual acordo evitaria uma nova rodada de envio?</x:t>
  </x:si>
  <x:si>
    <x:t xml:space="preserve">O que combinar antes de enviar um modelo?
Defina o uso da entrega e as informações esperadas antes de exportar. Quem envia e quem recebe precisam compartilhar o mesmo entendimento do pedido.
As imagens apresentam um exemplo para discutir com a equipe. Qual acordo evitaria uma nova rodada de envio?
#BIM #ConstrucaoDigital #Engenharia #Arxis</x:t>
  </x:si>
  <x:si>
    <x:t xml:space="preserve">Acordo de troca
na prática</x:t>
  </x:si>
  <x:si>
    <x:t xml:space="preserve">0 a 3 s: O que combinar antes de enviar um modelo?
3 a 9 s: apresentar o exemplo: Uma conversa ilustrativa entre remetente e destinatário que vira uma lista de requisitos.
9 a 17 s: mostrar o primeiro passo: Defina quem vai receber.
17 a 25 s: mostrar o segundo passo: Descreva o uso do arquivo.
25 a 32 s: concluir com a pergunta: Qual acordo evitaria uma nova rodada de envio?
32 a 35 s: Compartilhe com a equipe.</x:t>
  </x:si>
  <x:si>
    <x:t xml:space="preserve">Como você abordaria este exemplo de acordo de troca?
No vídeo, usamos este exemplo: uma conversa ilustrativa entre remetente e destinatário que vira uma lista de requisitos.
Comece por dois passos:
1. Defina quem vai receber.
2. Descreva o uso do arquivo.
Compartilhe com a equipe.
#Arxis #Engenharia #GestaoDeProjetos</x:t>
  </x:si>
  <x:si>
    <x:t xml:space="preserve">O que combinar antes de enviar um modelo?
O vídeo usa este exemplo: uma conversa ilustrativa entre remetente e destinatário que vira uma lista de requisitos.
Comece por estas ações:
1. Defina quem vai receber.
2. Descreva o uso do arquivo.
Compartilhe com a equipe.</x:t>
  </x:si>
  <x:si>
    <x:t xml:space="preserve">O que combinar antes de enviar um modelo?
O vídeo usa este exemplo: uma conversa ilustrativa entre remetente e destinatário que vira uma lista de requisitos.
Comece por estas ações:
1. Defina quem vai receber.
2. Descreva o uso do arquivo.
Compartilhe com a equipe.
#BIM #ConstrucaoDigital #Engenharia #Arxis</x:t>
  </x:si>
  <x:si>
    <x:t xml:space="preserve">Acordo de troca
na prática
Como você abordaria este exemplo de acordo de troca?
#BIM #Engenharia #Arquitetura #ConstrucaoDigital #Arxis</x:t>
  </x:si>
  <x:si>
    <x:t xml:space="preserve">Acordo de troca
4 pontos para conferir</x:t>
  </x:si>
  <x:si>
    <x:t xml:space="preserve">1. Capa: Acordo de troca
4 pontos para conferir
2. Defina quem vai receber. Usar o mesmo exemplo da semana para mostrar este ponto.
3. Descreva o uso do arquivo. Usar o mesmo exemplo da semana para mostrar este ponto.
4. Combine informações e referências. Usar o mesmo exemplo da semana para mostrar este ponto.
5. Defina como comunicar divergências. Usar o mesmo exemplo da semana para mostrar este ponto.
6. Checklist completo com os quatro pontos. Fecho: Envie para a equipe.</x:t>
  </x:si>
  <x:si>
    <x:t xml:space="preserve">Quatro pontos para conversar sobre acordo de troca:
1. Defina quem vai receber.
2. Descreva o uso do arquivo.
3. Combine informações e referências.
4. Defina como comunicar divergências.
Use o roteiro no contexto da sua equipe e registre o que ainda depende de confirmação.
Envie para a equipe.
#Arxis #Engenharia #GestaoDeProjetos</x:t>
  </x:si>
  <x:si>
    <x:t xml:space="preserve">Na próxima conversa sobre acordo de troca, leve este checklist:
Defina quem vai receber.
Descreva o uso do arquivo.
Combine informações e referências.
Defina como comunicar divergências.
A última imagem reúne os quatro pontos. Qual acordo evitaria uma nova rodada de envio?</x:t>
  </x:si>
  <x:si>
    <x:t xml:space="preserve">Na próxima conversa sobre acordo de troca, leve este checklist:
Defina quem vai receber.
Descreva o uso do arquivo.
Combine informações e referências.
Defina como comunicar divergências.
A última imagem reúne os quatro pontos. Qual acordo evitaria uma nova rodada de envio?
#BIM #ConstrucaoDigital #Engenharia #Arxis</x:t>
  </x:si>
  <x:si>
    <x:t xml:space="preserve">Qual acordo evitaria uma nova rodada de envio?</x:t>
  </x:si>
  <x:si>
    <x:t xml:space="preserve">Peça única. Título: Qual acordo evitaria uma nova rodada de envio?
Apoio: Uma pergunta para quem trabalha com projetos e obras.
Chamada: Responda nos comentários. Rodapé: @arxis.bim.</x:t>
  </x:si>
  <x:si>
    <x:t xml:space="preserve">Qual acordo evitaria uma nova rodada de envio?
Ao longo da semana, tratamos de acordo de troca com um exemplo e um checklist. Agora queremos ouvir como essa situação aparece no seu trabalho.
Responda nos comentários e conte uma dificuldade ou um aprendizado.
#Arxis #Engenharia #GestaoDeProjetos</x:t>
  </x:si>
  <x:si>
    <x:t xml:space="preserve">Qual acordo evitaria uma nova rodada de envio?
Depois do exemplo e do checklist desta semana, queremos ouvir sua experiência. Como sua equipe lida com acordo de troca? Responda nos comentários.</x:t>
  </x:si>
  <x:si>
    <x:t xml:space="preserve">Qual acordo evitaria uma nova rodada de envio?
Depois do exemplo e do checklist desta semana, queremos ouvir sua experiência. Como sua equipe lida com acordo de troca? Responda nos comentários.
#BIM #ConstrucaoDigital #Engenharia #Arxis</x:t>
  </x:si>
  <x:si>
    <x:t xml:space="preserve">1. Capa: O arquivo abriu. A entrega está completa?
2. Comece pela pergunta: Abrir o arquivo é o começo da conferência. Use o acordo de entrega para verificar se os dados e as referências necessários estão presentes.
3. Dê contexto ao exemplo: Uma lista fictícia de cinco itens esperados, com um item ainda pendente de confirmação.
4. Primeiro ponto a observar: Retome o acordo de entrega.
5. O que precisa ser confirmado: Confira os itens esperados.
6. Fecho: Qual conferência você faz além de abrir o arquivo? Conte sua experiência.</x:t>
  </x:si>
  <x:si>
    <x:t xml:space="preserve">Tipografia em destaque e ícones simples. Alternar com uma peça de fundo marinho na pergunta de sábado. Exemplo desta semana: Uma lista fictícia de cinco itens esperados, com um item ainda pendente de confirmação.</x:t>
  </x:si>
  <x:si>
    <x:t xml:space="preserve">O arquivo abriu. A entrega está completa?
Abrir o arquivo é o começo da conferência. Use o acordo de entrega para verificar se os dados e as referências necessários estão presentes.
Nesta semana, o exemplo será: uma lista fictícia de cinco itens esperados, com um item ainda pendente de confirmação.
Conte sua experiência. Qual conferência você faz além de abrir o arquivo?
#Arxis #BIM #Arquitetura</x:t>
  </x:si>
  <x:si>
    <x:t xml:space="preserve">O arquivo abriu. A entrega está completa?
Abrir o arquivo é o começo da conferência. Use o acordo de entrega para verificar se os dados e as referências necessários estão presentes.
As imagens apresentam um exemplo para discutir com a equipe. Qual conferência você faz além de abrir o arquivo?</x:t>
  </x:si>
  <x:si>
    <x:t xml:space="preserve">O arquivo abriu. A entrega está completa?
Abrir o arquivo é o começo da conferência. Use o acordo de entrega para verificar se os dados e as referências necessários estão presentes.
As imagens apresentam um exemplo para discutir com a equipe. Qual conferência você faz além de abrir o arquivo?
#BIM #ConstrucaoDigital #Engenharia #Arxis</x:t>
  </x:si>
  <x:si>
    <x:t xml:space="preserve">Conferência do recebido
na prática</x:t>
  </x:si>
  <x:si>
    <x:t xml:space="preserve">0 a 3 s: O arquivo abriu. A entrega está completa?
3 a 9 s: apresentar o exemplo: Uma lista fictícia de cinco itens esperados, com um item ainda pendente de confirmação.
9 a 17 s: mostrar o primeiro passo: Retome o acordo de entrega.
17 a 25 s: mostrar o segundo passo: Confira os itens esperados.
25 a 32 s: concluir com a pergunta: Qual conferência você faz além de abrir o arquivo?
32 a 35 s: Envie DADOS por mensagem.</x:t>
  </x:si>
  <x:si>
    <x:t xml:space="preserve">Uma pergunta de projeto pode orientar o que precisa ser observado.
No vídeo, usamos este exemplo: uma lista fictícia de cinco itens esperados, com um item ainda pendente de confirmação.
Comece por dois passos:
1. Retome o acordo de entrega.
2. Confira os itens esperados.
Envie DADOS por mensagem.
#Arxis #BIM #Arquitetura</x:t>
  </x:si>
  <x:si>
    <x:t xml:space="preserve">O arquivo abriu. A entrega está completa?
O vídeo usa este exemplo: uma lista fictícia de cinco itens esperados, com um item ainda pendente de confirmação.
Comece por estas ações:
1. Retome o acordo de entrega.
2. Confira os itens esperados.
Envie DADOS por mensagem à página.</x:t>
  </x:si>
  <x:si>
    <x:t xml:space="preserve">O arquivo abriu. A entrega está completa?
O vídeo usa este exemplo: uma lista fictícia de cinco itens esperados, com um item ainda pendente de confirmação.
Comece por estas ações:
1. Retome o acordo de entrega.
2. Confira os itens esperados.
Envie DADOS por mensagem aqui no LinkedIn.
#BIM #ConstrucaoDigital #Engenharia #Arxis</x:t>
  </x:si>
  <x:si>
    <x:t xml:space="preserve">Conferência do recebido
na prática
Uma pergunta de projeto pode orientar o que precisa ser observado.
#BIM #Engenharia #Arquitetura #ConstrucaoDigital #Arxis</x:t>
  </x:si>
  <x:si>
    <x:t xml:space="preserve">Conferência do recebido
4 pontos para conferir</x:t>
  </x:si>
  <x:si>
    <x:t xml:space="preserve">1. Capa: Conferência do recebido
4 pontos para conferir
2. Retome o acordo de entrega. Usar o mesmo exemplo da semana para mostrar este ponto.
3. Confira os itens esperados. Usar o mesmo exemplo da semana para mostrar este ponto.
4. Registre divergências encontradas. Usar o mesmo exemplo da semana para mostrar este ponto.
5. Combine a resposta às pendências. Usar o mesmo exemplo da semana para mostrar este ponto.
6. Checklist completo com os quatro pontos. Fecho: Use no próximo exemplo.</x:t>
  </x:si>
  <x:si>
    <x:t xml:space="preserve">Quatro pontos para conversar sobre conferência do recebido:
1. Retome o acordo de entrega.
2. Confira os itens esperados.
3. Registre divergências encontradas.
4. Combine a resposta às pendências.
Use o roteiro no contexto da sua equipe e registre o que ainda depende de confirmação.
Use no próximo exemplo.
#Arxis #BIM #Arquitetura</x:t>
  </x:si>
  <x:si>
    <x:t xml:space="preserve">Na próxima conversa sobre conferência do recebido, leve este checklist:
Retome o acordo de entrega.
Confira os itens esperados.
Registre divergências encontradas.
Combine a resposta às pendências.
A última imagem reúne os quatro pontos. Qual conferência você faz além de abrir o arquivo?</x:t>
  </x:si>
  <x:si>
    <x:t xml:space="preserve">Na próxima conversa sobre conferência do recebido, leve este checklist:
Retome o acordo de entrega.
Confira os itens esperados.
Registre divergências encontradas.
Combine a resposta às pendências.
A última imagem reúne os quatro pontos. Qual conferência você faz além de abrir o arquivo?
#BIM #ConstrucaoDigital #Engenharia #Arxis</x:t>
  </x:si>
  <x:si>
    <x:t xml:space="preserve">Qual é seu desafio
com conferência do recebido?</x:t>
  </x:si>
  <x:si>
    <x:t xml:space="preserve">Peça única. Título: Qual é seu desafio
com conferência do recebido?
Apoio: Conte sua área e a tarefa que deseja atender.
Chamada: Envie DADOS por mensagem. Rodapé: @arxis.bim.</x:t>
  </x:si>
  <x:si>
    <x:t xml:space="preserve">Qual desafio de conferência do recebido aparece no seu trabalho?
Conte sua área de atuação, o tipo de projeto e a tarefa que você precisa atender. Esse contexto ajuda a conversar sobre a Arxis e a aderência à sua rotina.
Envie DADOS por mensagem.
#Arxis #BIM #Arquitetura</x:t>
  </x:si>
  <x:si>
    <x:t xml:space="preserve">Vamos conversar sobre conferência do recebido no seu contexto?
Envie DADOS por mensagem à página, contando sua área, o tipo de projeto e a tarefa que deseja atender. Assim podemos discutir a Arxis e os próximos passos.</x:t>
  </x:si>
  <x:si>
    <x:t xml:space="preserve">Vamos conversar sobre conferência do recebido no seu contexto?
Envie DADOS por mensagem aqui no LinkedIn, contando sua área, o tipo de projeto e a tarefa que deseja atender. Assim podemos discutir a Arxis e os próximos passos.
#BIM #ConstrucaoDigital #Engenharia #Arxis</x:t>
  </x:si>
  <x:si>
    <x:t xml:space="preserve">1. Capa: Qual etapa depende de outra decisão?
2. Comece pela pergunta: Representar uma sequência pode ajudar a discutir dependências. Para usar essa conversa na obra, confirme o plano e as condições com os responsáveis técnicos.
3. Dê contexto ao exemplo: Três cartões ilustrativos de etapas de uma atividade.
4. Primeiro ponto a observar: Descreva as etapas envolvidas.
5. O que precisa ser confirmado: Identifique dependências.
6. Fecho: Qual dependência costuma passar despercebida? Salve para a próxima análise.</x:t>
  </x:si>
  <x:si>
    <x:t xml:space="preserve">Fundo branco, títulos em azul marinho e linhas de apoio em laranja. Usar um desenho técnico simples como exemplo. Exemplo desta semana: Três cartões ilustrativos de etapas de uma atividade, sem simulação 4D ou duração prometida.</x:t>
  </x:si>
  <x:si>
    <x:t xml:space="preserve">Qual etapa depende de outra decisão?
Representar uma sequência pode ajudar a discutir dependências. Para usar essa conversa na obra, confirme o plano e as condições com os responsáveis técnicos.
Nesta semana, o exemplo será: três cartões ilustrativos de etapas de uma atividade.
Salve para a próxima análise. Qual dependência costuma passar despercebida?
#Arxis #BIM #ConstrucaoDigital</x:t>
  </x:si>
  <x:si>
    <x:t xml:space="preserve">Qual etapa depende de outra decisão?
Representar uma sequência pode ajudar a discutir dependências. Para usar essa conversa na obra, confirme o plano e as condições com os responsáveis técnicos.
As imagens apresentam um exemplo para discutir com a equipe. Qual dependência costuma passar despercebida?</x:t>
  </x:si>
  <x:si>
    <x:t xml:space="preserve">Qual etapa depende de outra decisão?
Representar uma sequência pode ajudar a discutir dependências. Para usar essa conversa na obra, confirme o plano e as condições com os responsáveis técnicos.
As imagens apresentam um exemplo para discutir com a equipe. Qual dependência costuma passar despercebida?
#BIM #ConstrucaoDigital #Engenharia #Arxis</x:t>
  </x:si>
  <x:si>
    <x:t xml:space="preserve">Sequência de execução
na prática</x:t>
  </x:si>
  <x:si>
    <x:t xml:space="preserve">0 a 3 s: Qual etapa depende de outra decisão?
3 a 9 s: apresentar o exemplo: Três cartões ilustrativos de etapas de uma atividade.
9 a 17 s: mostrar o primeiro passo: Descreva as etapas envolvidas.
17 a 25 s: mostrar o segundo passo: Identifique dependências.
25 a 32 s: concluir com a pergunta: Qual dependência costuma passar despercebida?
32 a 35 s: Salve este exemplo.</x:t>
  </x:si>
  <x:si>
    <x:t xml:space="preserve">Vamos olhar para sequência de execução em uma situação concreta.
No vídeo, usamos este exemplo: três cartões ilustrativos de etapas de uma atividade.
Comece por dois passos:
1. Descreva as etapas envolvidas.
2. Identifique dependências.
Salve este exemplo.
#Arxis #BIM #ConstrucaoDigital</x:t>
  </x:si>
  <x:si>
    <x:t xml:space="preserve">Qual etapa depende de outra decisão?
O vídeo usa este exemplo: três cartões ilustrativos de etapas de uma atividade.
Comece por estas ações:
1. Descreva as etapas envolvidas.
2. Identifique dependências.
Salve este exemplo.</x:t>
  </x:si>
  <x:si>
    <x:t xml:space="preserve">Qual etapa depende de outra decisão?
O vídeo usa este exemplo: três cartões ilustrativos de etapas de uma atividade.
Comece por estas ações:
1. Descreva as etapas envolvidas.
2. Identifique dependências.
Salve este exemplo.
#BIM #ConstrucaoDigital #Engenharia #Arxis</x:t>
  </x:si>
  <x:si>
    <x:t xml:space="preserve">Sequência de execução
na prática
Vamos olhar para sequência de execução em uma situação concreta.
#BIM #Engenharia #Arquitetura #ConstrucaoDigital #Arxis</x:t>
  </x:si>
  <x:si>
    <x:t xml:space="preserve">Sequência de execução
4 pontos para conferir</x:t>
  </x:si>
  <x:si>
    <x:t xml:space="preserve">1. Capa: Sequência de execução
4 pontos para conferir
2. Descreva as etapas envolvidas. Usar o mesmo exemplo da semana para mostrar este ponto.
3. Identifique dependências. Usar o mesmo exemplo da semana para mostrar este ponto.
4. Liste decisões ainda necessárias. Usar o mesmo exemplo da semana para mostrar este ponto.
5. Confirme o plano com os responsáveis. Usar o mesmo exemplo da semana para mostrar este ponto.
6. Checklist completo com os quatro pontos. Fecho: Salve o checklist.</x:t>
  </x:si>
  <x:si>
    <x:t xml:space="preserve">Quatro pontos para conversar sobre sequência de execução:
1. Descreva as etapas envolvidas.
2. Identifique dependências.
3. Liste decisões ainda necessárias.
4. Confirme o plano com os responsáveis.
Use o roteiro no contexto da sua equipe e registre o que ainda depende de confirmação.
Salve o checklist.
#Arxis #BIM #ConstrucaoDigital</x:t>
  </x:si>
  <x:si>
    <x:t xml:space="preserve">Na próxima conversa sobre sequência de execução, leve este checklist:
Descreva as etapas envolvidas.
Identifique dependências.
Liste decisões ainda necessárias.
Confirme o plano com os responsáveis.
A última imagem reúne os quatro pontos. Qual dependência costuma passar despercebida?</x:t>
  </x:si>
  <x:si>
    <x:t xml:space="preserve">Na próxima conversa sobre sequência de execução, leve este checklist:
Descreva as etapas envolvidas.
Identifique dependências.
Liste decisões ainda necessárias.
Confirme o plano com os responsáveis.
A última imagem reúne os quatro pontos. Qual dependência costuma passar despercebida?
#BIM #ConstrucaoDigital #Engenharia #Arxis</x:t>
  </x:si>
  <x:si>
    <x:t xml:space="preserve">Qual dependência costuma passar despercebida?</x:t>
  </x:si>
  <x:si>
    <x:t xml:space="preserve">Peça única. Título: Qual dependência costuma passar despercebida?
Apoio: Uma pergunta para quem trabalha com projetos e obras.
Chamada: Responda nos comentários. Rodapé: @arxis.bim.</x:t>
  </x:si>
  <x:si>
    <x:t xml:space="preserve">Qual dependência costuma passar despercebida?
Ao longo da semana, tratamos de sequência de execução com um exemplo e um checklist. Agora queremos ouvir como essa situação aparece no seu trabalho.
Responda nos comentários e conte uma dificuldade ou um aprendizado.
#Arxis #BIM #ConstrucaoDigital</x:t>
  </x:si>
  <x:si>
    <x:t xml:space="preserve">Qual dependência costuma passar despercebida?
Depois do exemplo e do checklist desta semana, queremos ouvir sua experiência. Como sua equipe lida com sequência de execução? Responda nos comentários.</x:t>
  </x:si>
  <x:si>
    <x:t xml:space="preserve">Qual dependência costuma passar despercebida?
Depois do exemplo e do checklist desta semana, queremos ouvir sua experiência. Como sua equipe lida com sequência de execução? Responda nos comentários.
#BIM #ConstrucaoDigital #Engenharia #Arxis</x:t>
  </x:si>
  <x:si>
    <x:t xml:space="preserve">1. Capa: Como os materiais chegam ao ponto de uso?
2. Comece pela pergunta: A conversa sobre execução também precisa considerar acesso, movimentação e espaço disponível. Leve o contexto para a equipe que organiza o trabalho no local.
3. Dê contexto ao exemplo: Um esquema didático de acesso e área de apoio em uma obra.
4. Primeiro ponto a observar: Identifique o ponto de uso.
5. O que precisa ser confirmado: Registre o acesso previsto.
6. Fecho: Qual informação de acesso faz falta no planejamento? Envie para quem revisa com você.</x:t>
  </x:si>
  <x:si>
    <x:t xml:space="preserve">Fundo claro, cartões de informação e números em azul. Usar o símbolo da Arxis em posição consistente. Exemplo desta semana: Um esquema didático de acesso e área de apoio em uma obra, sem plano executivo de segurança.</x:t>
  </x:si>
  <x:si>
    <x:t xml:space="preserve">Como os materiais chegam ao ponto de uso?
A conversa sobre execução também precisa considerar acesso, movimentação e espaço disponível. Leve o contexto para a equipe que organiza o trabalho no local.
Nesta semana, o exemplo será: um esquema didático de acesso e área de apoio em uma obra.
Envie para quem revisa com você. Qual informação de acesso faz falta no planejamento?
#Arxis #BIM #Projetos</x:t>
  </x:si>
  <x:si>
    <x:t xml:space="preserve">Como os materiais chegam ao ponto de uso?
A conversa sobre execução também precisa considerar acesso, movimentação e espaço disponível. Leve o contexto para a equipe que organiza o trabalho no local.
As imagens apresentam um exemplo para discutir com a equipe. Qual informação de acesso faz falta no planejamento?</x:t>
  </x:si>
  <x:si>
    <x:t xml:space="preserve">Como os materiais chegam ao ponto de uso?
A conversa sobre execução também precisa considerar acesso, movimentação e espaço disponível. Leve o contexto para a equipe que organiza o trabalho no local.
As imagens apresentam um exemplo para discutir com a equipe. Qual informação de acesso faz falta no planejamento?
#BIM #ConstrucaoDigital #Engenharia #Arxis</x:t>
  </x:si>
  <x:si>
    <x:t xml:space="preserve">Acessos e logística
na prática</x:t>
  </x:si>
  <x:si>
    <x:t xml:space="preserve">0 a 3 s: Como os materiais chegam ao ponto de uso?
3 a 9 s: apresentar o exemplo: Um esquema didático de acesso e área de apoio em uma obra.
9 a 17 s: mostrar o primeiro passo: Identifique o ponto de uso.
17 a 25 s: mostrar o segundo passo: Registre o acesso previsto.
25 a 32 s: concluir com a pergunta: Qual informação de acesso faz falta no planejamento?
32 a 35 s: Envie sua dúvida.</x:t>
  </x:si>
  <x:si>
    <x:t xml:space="preserve">Como os materiais chegam ao ponto de uso?
No vídeo, usamos este exemplo: um esquema didático de acesso e área de apoio em uma obra.
Comece por dois passos:
1. Identifique o ponto de uso.
2. Registre o acesso previsto.
Envie sua dúvida.
#Arxis #BIM #Projetos</x:t>
  </x:si>
  <x:si>
    <x:t xml:space="preserve">Como os materiais chegam ao ponto de uso?
O vídeo usa este exemplo: um esquema didático de acesso e área de apoio em uma obra.
Comece por estas ações:
1. Identifique o ponto de uso.
2. Registre o acesso previsto.
Envie sua dúvida.</x:t>
  </x:si>
  <x:si>
    <x:t xml:space="preserve">Como os materiais chegam ao ponto de uso?
O vídeo usa este exemplo: um esquema didático de acesso e área de apoio em uma obra.
Comece por estas ações:
1. Identifique o ponto de uso.
2. Registre o acesso previsto.
Envie sua dúvida.
#BIM #ConstrucaoDigital #Engenharia #Arxis</x:t>
  </x:si>
  <x:si>
    <x:t xml:space="preserve">Acessos e logística
na prática
Como os materiais chegam ao ponto de uso?
#BIM #Engenharia #Arquitetura #ConstrucaoDigital #Arxis</x:t>
  </x:si>
  <x:si>
    <x:t xml:space="preserve">Acessos e logística
4 pontos para conferir</x:t>
  </x:si>
  <x:si>
    <x:t xml:space="preserve">1. Capa: Acessos e logística
4 pontos para conferir
2. Identifique o ponto de uso. Usar o mesmo exemplo da semana para mostrar este ponto.
3. Registre o acesso previsto. Usar o mesmo exemplo da semana para mostrar este ponto.
4. Liste limitações conhecidas. Usar o mesmo exemplo da semana para mostrar este ponto.
5. Leve a análise aos responsáveis da obra. Usar o mesmo exemplo da semana para mostrar este ponto.
6. Checklist completo com os quatro pontos. Fecho: Leve para a próxima reunião.</x:t>
  </x:si>
  <x:si>
    <x:t xml:space="preserve">Quatro pontos para conversar sobre acessos e logística:
1. Identifique o ponto de uso.
2. Registre o acesso previsto.
3. Liste limitações conhecidas.
4. Leve a análise aos responsáveis da obra.
Use o roteiro no contexto da sua equipe e registre o que ainda depende de confirmação.
Leve para a próxima reunião.
#Arxis #BIM #Projetos</x:t>
  </x:si>
  <x:si>
    <x:t xml:space="preserve">Na próxima conversa sobre acessos e logística, leve este checklist:
Identifique o ponto de uso.
Registre o acesso previsto.
Liste limitações conhecidas.
Leve a análise aos responsáveis da obra.
A última imagem reúne os quatro pontos. Qual informação de acesso faz falta no planejamento?</x:t>
  </x:si>
  <x:si>
    <x:t xml:space="preserve">Na próxima conversa sobre acessos e logística, leve este checklist:
Identifique o ponto de uso.
Registre o acesso previsto.
Liste limitações conhecidas.
Leve a análise aos responsáveis da obra.
A última imagem reúne os quatro pontos. Qual informação de acesso faz falta no planejamento?
#BIM #ConstrucaoDigital #Engenharia #Arxis</x:t>
  </x:si>
  <x:si>
    <x:t xml:space="preserve">Qual informação de acesso faz falta no planejamento?</x:t>
  </x:si>
  <x:si>
    <x:t xml:space="preserve">Peça única. Título: Qual informação de acesso faz falta no planejamento?
Apoio: Uma pergunta para quem trabalha com projetos e obras.
Chamada: Responda nos comentários. Rodapé: @arxis.bim.</x:t>
  </x:si>
  <x:si>
    <x:t xml:space="preserve">Qual informação de acesso faz falta no planejamento?
Ao longo da semana, tratamos de acessos e logística com um exemplo e um checklist. Agora queremos ouvir como essa situação aparece no seu trabalho.
Responda nos comentários e conte uma dificuldade ou um aprendizado.
#Arxis #BIM #Projetos</x:t>
  </x:si>
  <x:si>
    <x:t xml:space="preserve">Qual informação de acesso faz falta no planejamento?
Depois do exemplo e do checklist desta semana, queremos ouvir sua experiência. Como sua equipe lida com acessos e logística? Responda nos comentários.</x:t>
  </x:si>
  <x:si>
    <x:t xml:space="preserve">Qual informação de acesso faz falta no planejamento?
Depois do exemplo e do checklist desta semana, queremos ouvir sua experiência. Como sua equipe lida com acessos e logística? Responda nos comentários.
#BIM #ConstrucaoDigital #Engenharia #Arxis</x:t>
  </x:si>
  <x:si>
    <x:t xml:space="preserve">1. Capa: Quem precisa alinhar esta interface?
2. Comece pela pergunta: Uma região de encontro entre sistemas pode exigir decisões de mais de uma disciplina. Localize o ponto e encaminhe a pergunta com as referências necessárias.
3. Dê contexto ao exemplo: Um detalhe ilustrativo de encontro de fechamento e instalação.
4. Primeiro ponto a observar: Localize a interface.
5. O que precisa ser confirmado: Identifique as disciplinas.
6. Fecho: Em qual interface sua equipe mais precisa se alinhar? Compartilhe com a equipe.</x:t>
  </x:si>
  <x:si>
    <x:t xml:space="preserve">Composição clara com uma imagem ilustrativa e rótulos curtos. Reservar o laranja para o ponto em análise. Exemplo desta semana: Um detalhe ilustrativo de encontro de fechamento e instalação, sem propor solução técnica.</x:t>
  </x:si>
  <x:si>
    <x:t xml:space="preserve">Quem precisa alinhar esta interface?
Uma região de encontro entre sistemas pode exigir decisões de mais de uma disciplina. Localize o ponto e encaminhe a pergunta com as referências necessárias.
Nesta semana, o exemplo será: um detalhe ilustrativo de encontro de fechamento e instalação.
Compartilhe com a equipe. Em qual interface sua equipe mais precisa se alinhar?
#Arxis #Engenharia #GestaoDeProjetos</x:t>
  </x:si>
  <x:si>
    <x:t xml:space="preserve">Quem precisa alinhar esta interface?
Uma região de encontro entre sistemas pode exigir decisões de mais de uma disciplina. Localize o ponto e encaminhe a pergunta com as referências necessárias.
As imagens apresentam um exemplo para discutir com a equipe. Em qual interface sua equipe mais precisa se alinhar?</x:t>
  </x:si>
  <x:si>
    <x:t xml:space="preserve">Quem precisa alinhar esta interface?
Uma região de encontro entre sistemas pode exigir decisões de mais de uma disciplina. Localize o ponto e encaminhe a pergunta com as referências necessárias.
As imagens apresentam um exemplo para discutir com a equipe. Em qual interface sua equipe mais precisa se alinhar?
#BIM #ConstrucaoDigital #Engenharia #Arxis</x:t>
  </x:si>
  <x:si>
    <x:t xml:space="preserve">Interfaces de execução
na prática</x:t>
  </x:si>
  <x:si>
    <x:t xml:space="preserve">0 a 3 s: Quem precisa alinhar esta interface?
3 a 9 s: apresentar o exemplo: Um detalhe ilustrativo de encontro de fechamento e instalação.
9 a 17 s: mostrar o primeiro passo: Localize a interface.
17 a 25 s: mostrar o segundo passo: Identifique as disciplinas.
25 a 32 s: concluir com a pergunta: Em qual interface sua equipe mais precisa se alinhar?
32 a 35 s: Compartilhe com a equipe.</x:t>
  </x:si>
  <x:si>
    <x:t xml:space="preserve">Como você abordaria este exemplo de interfaces de execução?
No vídeo, usamos este exemplo: um detalhe ilustrativo de encontro de fechamento e instalação.
Comece por dois passos:
1. Localize a interface.
2. Identifique as disciplinas.
Compartilhe com a equipe.
#Arxis #Engenharia #GestaoDeProjetos</x:t>
  </x:si>
  <x:si>
    <x:t xml:space="preserve">Quem precisa alinhar esta interface?
O vídeo usa este exemplo: um detalhe ilustrativo de encontro de fechamento e instalação.
Comece por estas ações:
1. Localize a interface.
2. Identifique as disciplinas.
Compartilhe com a equipe.</x:t>
  </x:si>
  <x:si>
    <x:t xml:space="preserve">Quem precisa alinhar esta interface?
O vídeo usa este exemplo: um detalhe ilustrativo de encontro de fechamento e instalação.
Comece por estas ações:
1. Localize a interface.
2. Identifique as disciplinas.
Compartilhe com a equipe.
#BIM #ConstrucaoDigital #Engenharia #Arxis</x:t>
  </x:si>
  <x:si>
    <x:t xml:space="preserve">Interfaces de execução
na prática
Como você abordaria este exemplo de interfaces de execução?
#BIM #Engenharia #Arquitetura #ConstrucaoDigital #Arxis</x:t>
  </x:si>
  <x:si>
    <x:t xml:space="preserve">Interfaces de execução
4 pontos para conferir</x:t>
  </x:si>
  <x:si>
    <x:t xml:space="preserve">1. Capa: Interfaces de execução
4 pontos para conferir
2. Localize a interface. Usar o mesmo exemplo da semana para mostrar este ponto.
3. Identifique as disciplinas. Usar o mesmo exemplo da semana para mostrar este ponto.
4. Reúna as referências pertinentes. Usar o mesmo exemplo da semana para mostrar este ponto.
5. Defina quem precisa responder. Usar o mesmo exemplo da semana para mostrar este ponto.
6. Checklist completo com os quatro pontos. Fecho: Envie para a equipe.</x:t>
  </x:si>
  <x:si>
    <x:t xml:space="preserve">Quatro pontos para conversar sobre interfaces de execução:
1. Localize a interface.
2. Identifique as disciplinas.
3. Reúna as referências pertinentes.
4. Defina quem precisa responder.
Use o roteiro no contexto da sua equipe e registre o que ainda depende de confirmação.
Envie para a equipe.
#Arxis #Engenharia #GestaoDeProjetos</x:t>
  </x:si>
  <x:si>
    <x:t xml:space="preserve">Na próxima conversa sobre interfaces de execução, leve este checklist:
Localize a interface.
Identifique as disciplinas.
Reúna as referências pertinentes.
Defina quem precisa responder.
A última imagem reúne os quatro pontos. Em qual interface sua equipe mais precisa se alinhar?</x:t>
  </x:si>
  <x:si>
    <x:t xml:space="preserve">Na próxima conversa sobre interfaces de execução, leve este checklist:
Localize a interface.
Identifique as disciplinas.
Reúna as referências pertinentes.
Defina quem precisa responder.
A última imagem reúne os quatro pontos. Em qual interface sua equipe mais precisa se alinhar?
#BIM #ConstrucaoDigital #Engenharia #Arxis</x:t>
  </x:si>
  <x:si>
    <x:t xml:space="preserve">Em qual interface sua equipe mais precisa se alinhar?</x:t>
  </x:si>
  <x:si>
    <x:t xml:space="preserve">Peça única. Título: Em qual interface sua equipe mais precisa se alinhar?
Apoio: Uma pergunta para quem trabalha com projetos e obras.
Chamada: Responda nos comentários. Rodapé: @arxis.bim.</x:t>
  </x:si>
  <x:si>
    <x:t xml:space="preserve">Em qual interface sua equipe mais precisa se alinhar?
Ao longo da semana, tratamos de interfaces de execução com um exemplo e um checklist. Agora queremos ouvir como essa situação aparece no seu trabalho.
Responda nos comentários e conte uma dificuldade ou um aprendizado.
#Arxis #Engenharia #GestaoDeProjetos</x:t>
  </x:si>
  <x:si>
    <x:t xml:space="preserve">Em qual interface sua equipe mais precisa se alinhar?
Depois do exemplo e do checklist desta semana, queremos ouvir sua experiência. Como sua equipe lida com interfaces de execução? Responda nos comentários.</x:t>
  </x:si>
  <x:si>
    <x:t xml:space="preserve">Em qual interface sua equipe mais precisa se alinhar?
Depois do exemplo e do checklist desta semana, queremos ouvir sua experiência. Como sua equipe lida com interfaces de execução? Responda nos comentários.
#BIM #ConstrucaoDigital #Engenharia #Arxis</x:t>
  </x:si>
  <x:si>
    <x:t xml:space="preserve">A quantidade se refere a qual conjunto de elementos?</x:t>
  </x:si>
  <x:si>
    <x:t xml:space="preserve">1. Capa: A quantidade se refere a qual conjunto de elementos?
2. Comece pela pergunta: Antes de usar uma quantidade, confirme o escopo, os filtros e a unidade. O contexto da seleção faz parte do significado do número.
3. Dê contexto ao exemplo: Uma seleção didática de portas de um pavimento, contrastada com o conjunto de todos os pavimentos.
4. Primeiro ponto a observar: Defina quais elementos entram.
5. O que precisa ser confirmado: Confira os filtros aplicados.
6. Fecho: Como você registra o escopo de uma contagem? Conte sua experiência.</x:t>
  </x:si>
  <x:si>
    <x:t xml:space="preserve">Tipografia em destaque e ícones simples. Alternar com uma peça de fundo marinho na pergunta de sábado. Exemplo desta semana: Uma seleção didática de portas de um pavimento, contrastada com o conjunto de todos os pavimentos.</x:t>
  </x:si>
  <x:si>
    <x:t xml:space="preserve">A quantidade se refere a qual conjunto de elementos?
Antes de usar uma quantidade, confirme o escopo, os filtros e a unidade. O contexto da seleção faz parte do significado do número.
Nesta semana, o exemplo será: uma seleção didática de portas de um pavimento, contrastada com o conjunto de todos os pavimentos.
Conte sua experiência. Como você registra o escopo de uma contagem?
#Arxis #BIM #Arquitetura</x:t>
  </x:si>
  <x:si>
    <x:t xml:space="preserve">A quantidade se refere a qual conjunto de elementos?
Antes de usar uma quantidade, confirme o escopo, os filtros e a unidade. O contexto da seleção faz parte do significado do número.
As imagens apresentam um exemplo para discutir com a equipe. Como você registra o escopo de uma contagem?</x:t>
  </x:si>
  <x:si>
    <x:t xml:space="preserve">A quantidade se refere a qual conjunto de elementos?
Antes de usar uma quantidade, confirme o escopo, os filtros e a unidade. O contexto da seleção faz parte do significado do número.
As imagens apresentam um exemplo para discutir com a equipe. Como você registra o escopo de uma contagem?
#BIM #ConstrucaoDigital #Engenharia #Arxis</x:t>
  </x:si>
  <x:si>
    <x:t xml:space="preserve">Quantidades e escopo
na prática</x:t>
  </x:si>
  <x:si>
    <x:t xml:space="preserve">0 a 3 s: A quantidade se refere a qual conjunto de elementos?
3 a 9 s: apresentar o exemplo: Uma seleção didática de portas de um pavimento, contrastada com o conjunto de todos os pavimentos.
9 a 17 s: mostrar o primeiro passo: Defina quais elementos entram.
17 a 25 s: mostrar o segundo passo: Confira os filtros aplicados.
25 a 32 s: concluir com a pergunta: Como você registra o escopo de uma contagem?
32 a 35 s: Envie DADOS por mensagem.</x:t>
  </x:si>
  <x:si>
    <x:t xml:space="preserve">Uma pergunta de projeto pode orientar o que precisa ser observado.
No vídeo, usamos este exemplo: uma seleção didática de portas de um pavimento, contrastada com o conjunto de todos os pavimentos.
Comece por dois passos:
1. Defina quais elementos entram.
2. Confira os filtros aplicados.
Envie DADOS por mensagem.
#Arxis #BIM #Arquitetura</x:t>
  </x:si>
  <x:si>
    <x:t xml:space="preserve">A quantidade se refere a qual conjunto de elementos?
O vídeo usa este exemplo: uma seleção didática de portas de um pavimento, contrastada com o conjunto de todos os pavimentos.
Comece por estas ações:
1. Defina quais elementos entram.
2. Confira os filtros aplicados.
Envie DADOS por mensagem à página.</x:t>
  </x:si>
  <x:si>
    <x:t xml:space="preserve">A quantidade se refere a qual conjunto de elementos?
O vídeo usa este exemplo: uma seleção didática de portas de um pavimento, contrastada com o conjunto de todos os pavimentos.
Comece por estas ações:
1. Defina quais elementos entram.
2. Confira os filtros aplicados.
Envie DADOS por mensagem aqui no LinkedIn.
#BIM #ConstrucaoDigital #Engenharia #Arxis</x:t>
  </x:si>
  <x:si>
    <x:t xml:space="preserve">Quantidades e escopo
na prática
Uma pergunta de projeto pode orientar o que precisa ser observado.
#BIM #Engenharia #Arquitetura #ConstrucaoDigital #Arxis</x:t>
  </x:si>
  <x:si>
    <x:t xml:space="preserve">Quantidades e escopo
4 pontos para conferir</x:t>
  </x:si>
  <x:si>
    <x:t xml:space="preserve">1. Capa: Quantidades e escopo
4 pontos para conferir
2. Defina quais elementos entram. Usar o mesmo exemplo da semana para mostrar este ponto.
3. Confira os filtros aplicados. Usar o mesmo exemplo da semana para mostrar este ponto.
4. Identifique a unidade. Usar o mesmo exemplo da semana para mostrar este ponto.
5. Registre a versão e o escopo. Usar o mesmo exemplo da semana para mostrar este ponto.
6. Checklist completo com os quatro pontos. Fecho: Use no próximo exemplo.</x:t>
  </x:si>
  <x:si>
    <x:t xml:space="preserve">Quatro pontos para conversar sobre quantidades e escopo:
1. Defina quais elementos entram.
2. Confira os filtros aplicados.
3. Identifique a unidade.
4. Registre a versão e o escopo.
Use o roteiro no contexto da sua equipe e registre o que ainda depende de confirmação.
Use no próximo exemplo.
#Arxis #BIM #Arquitetura</x:t>
  </x:si>
  <x:si>
    <x:t xml:space="preserve">Na próxima conversa sobre quantidades e escopo, leve este checklist:
Defina quais elementos entram.
Confira os filtros aplicados.
Identifique a unidade.
Registre a versão e o escopo.
A última imagem reúne os quatro pontos. Como você registra o escopo de uma contagem?</x:t>
  </x:si>
  <x:si>
    <x:t xml:space="preserve">Na próxima conversa sobre quantidades e escopo, leve este checklist:
Defina quais elementos entram.
Confira os filtros aplicados.
Identifique a unidade.
Registre a versão e o escopo.
A última imagem reúne os quatro pontos. Como você registra o escopo de uma contagem?
#BIM #ConstrucaoDigital #Engenharia #Arxis</x:t>
  </x:si>
  <x:si>
    <x:t xml:space="preserve">Qual é seu desafio
com quantidades e escopo?</x:t>
  </x:si>
  <x:si>
    <x:t xml:space="preserve">Peça única. Título: Qual é seu desafio
com quantidades e escopo?
Apoio: Conte sua área e a tarefa que deseja atender.
Chamada: Envie DADOS por mensagem. Rodapé: @arxis.bim.</x:t>
  </x:si>
  <x:si>
    <x:t xml:space="preserve">Qual desafio de quantidades e escopo aparece no seu trabalho?
Conte sua área de atuação, o tipo de projeto e a tarefa que você precisa atender. Esse contexto ajuda a conversar sobre a Arxis e a aderência à sua rotina.
Envie DADOS por mensagem.
#Arxis #BIM #Arquitetura</x:t>
  </x:si>
  <x:si>
    <x:t xml:space="preserve">Vamos conversar sobre quantidades e escopo no seu contexto?
Envie DADOS por mensagem à página, contando sua área, o tipo de projeto e a tarefa que deseja atender. Assim podemos discutir a Arxis e os próximos passos.</x:t>
  </x:si>
  <x:si>
    <x:t xml:space="preserve">Vamos conversar sobre quantidades e escopo no seu contexto?
Envie DADOS por mensagem aqui no LinkedIn, contando sua área, o tipo de projeto e a tarefa que deseja atender. Assim podemos discutir a Arxis e os próximos passos.
#BIM #ConstrucaoDigital #Engenharia #Arxis</x:t>
  </x:si>
  <x:si>
    <x:t xml:space="preserve">A apresentação responde à dúvida do cliente?</x:t>
  </x:si>
  <x:si>
    <x:t xml:space="preserve">1. Capa: A apresentação responde à dúvida do cliente?
2. Comece pela pergunta: Selecione as vistas e as informações a partir da pergunta que precisa ser discutida. Explique os termos técnicos necessários para acompanhar a decisão.
3. Dê contexto ao exemplo: Duas imagens didáticas da mesma sala: uma visão geral e um recorte ligado à pergunta do cliente.
4. Primeiro ponto a observar: Identifique a dúvida do cliente.
5. O que precisa ser confirmado: Selecione uma referência pertinente.
6. Fecho: Qual dúvida você ouve mais durante uma apresentação? Salve para a próxima análise.</x:t>
  </x:si>
  <x:si>
    <x:t xml:space="preserve">Fundo branco, títulos em azul marinho e linhas de apoio em laranja. Usar um desenho técnico simples como exemplo. Exemplo desta semana: Duas imagens didáticas da mesma sala: uma visão geral e um recorte ligado à pergunta do cliente.</x:t>
  </x:si>
  <x:si>
    <x:t xml:space="preserve">A apresentação responde à dúvida do cliente?
Selecione as vistas e as informações a partir da pergunta que precisa ser discutida. Explique os termos técnicos necessários para acompanhar a decisão.
Nesta semana, o exemplo será: duas imagens didáticas da mesma sala: uma visão geral e um recorte ligado à pergunta do cliente.
Salve para a próxima análise. Qual dúvida você ouve mais durante uma apresentação?
#Arxis #BIM #ConstrucaoDigital</x:t>
  </x:si>
  <x:si>
    <x:t xml:space="preserve">A apresentação responde à dúvida do cliente?
Selecione as vistas e as informações a partir da pergunta que precisa ser discutida. Explique os termos técnicos necessários para acompanhar a decisão.
As imagens apresentam um exemplo para discutir com a equipe. Qual dúvida você ouve mais durante uma apresentação?</x:t>
  </x:si>
  <x:si>
    <x:t xml:space="preserve">A apresentação responde à dúvida do cliente?
Selecione as vistas e as informações a partir da pergunta que precisa ser discutida. Explique os termos técnicos necessários para acompanhar a decisão.
As imagens apresentam um exemplo para discutir com a equipe. Qual dúvida você ouve mais durante uma apresentação?
#BIM #ConstrucaoDigital #Engenharia #Arxis</x:t>
  </x:si>
  <x:si>
    <x:t xml:space="preserve">Apresentação ao cliente
na prática</x:t>
  </x:si>
  <x:si>
    <x:t xml:space="preserve">0 a 3 s: A apresentação responde à dúvida do cliente?
3 a 9 s: apresentar o exemplo: Duas imagens didáticas da mesma sala: uma visão geral e um recorte ligado à pergunta do cliente.
9 a 17 s: mostrar o primeiro passo: Identifique a dúvida do cliente.
17 a 25 s: mostrar o segundo passo: Selecione uma referência pertinente.
25 a 32 s: concluir com a pergunta: Qual dúvida você ouve mais durante uma apresentação?
32 a 35 s: Salve este exemplo.</x:t>
  </x:si>
  <x:si>
    <x:t xml:space="preserve">Vamos olhar para apresentação ao cliente em uma situação concreta.
No vídeo, usamos este exemplo: duas imagens didáticas da mesma sala: uma visão geral e um recorte ligado à pergunta do cliente.
Comece por dois passos:
1. Identifique a dúvida do cliente.
2. Selecione uma referência pertinente.
Salve este exemplo.
#Arxis #BIM #ConstrucaoDigital</x:t>
  </x:si>
  <x:si>
    <x:t xml:space="preserve">A apresentação responde à dúvida do cliente?
O vídeo usa este exemplo: duas imagens didáticas da mesma sala: uma visão geral e um recorte ligado à pergunta do cliente.
Comece por estas ações:
1. Identifique a dúvida do cliente.
2. Selecione uma referência pertinente.
Salve este exemplo.</x:t>
  </x:si>
  <x:si>
    <x:t xml:space="preserve">A apresentação responde à dúvida do cliente?
O vídeo usa este exemplo: duas imagens didáticas da mesma sala: uma visão geral e um recorte ligado à pergunta do cliente.
Comece por estas ações:
1. Identifique a dúvida do cliente.
2. Selecione uma referência pertinente.
Salve este exemplo.
#BIM #ConstrucaoDigital #Engenharia #Arxis</x:t>
  </x:si>
  <x:si>
    <x:t xml:space="preserve">Apresentação ao cliente
na prática
Vamos olhar para apresentação ao cliente em uma situação concreta.
#BIM #Engenharia #Arquitetura #ConstrucaoDigital #Arxis</x:t>
  </x:si>
  <x:si>
    <x:t xml:space="preserve">Apresentação ao cliente
4 pontos para conferir</x:t>
  </x:si>
  <x:si>
    <x:t xml:space="preserve">1. Capa: Apresentação ao cliente
4 pontos para conferir
2. Identifique a dúvida do cliente. Usar o mesmo exemplo da semana para mostrar este ponto.
3. Selecione uma referência pertinente. Usar o mesmo exemplo da semana para mostrar este ponto.
4. Explique os termos essenciais. Usar o mesmo exemplo da semana para mostrar este ponto.
5. Confirme o entendimento da proposta. Usar o mesmo exemplo da semana para mostrar este ponto.
6. Checklist completo com os quatro pontos. Fecho: Salve o checklist.</x:t>
  </x:si>
  <x:si>
    <x:t xml:space="preserve">Quatro pontos para conversar sobre apresentação ao cliente:
1. Identifique a dúvida do cliente.
2. Selecione uma referência pertinente.
3. Explique os termos essenciais.
4. Confirme o entendimento da proposta.
Use o roteiro no contexto da sua equipe e registre o que ainda depende de confirmação.
Salve o checklist.
#Arxis #BIM #ConstrucaoDigital</x:t>
  </x:si>
  <x:si>
    <x:t xml:space="preserve">Na próxima conversa sobre apresentação ao cliente, leve este checklist:
Identifique a dúvida do cliente.
Selecione uma referência pertinente.
Explique os termos essenciais.
Confirme o entendimento da proposta.
A última imagem reúne os quatro pontos. Qual dúvida você ouve mais durante uma apresentação?</x:t>
  </x:si>
  <x:si>
    <x:t xml:space="preserve">Na próxima conversa sobre apresentação ao cliente, leve este checklist:
Identifique a dúvida do cliente.
Selecione uma referência pertinente.
Explique os termos essenciais.
Confirme o entendimento da proposta.
A última imagem reúne os quatro pontos. Qual dúvida você ouve mais durante uma apresentação?
#BIM #ConstrucaoDigital #Engenharia #Arxis</x:t>
  </x:si>
  <x:si>
    <x:t xml:space="preserve">Qual dúvida você ouve mais durante uma apresentação?</x:t>
  </x:si>
  <x:si>
    <x:t xml:space="preserve">Peça única. Título: Qual dúvida você ouve mais durante uma apresentação?
Apoio: Uma pergunta para quem trabalha com projetos e obras.
Chamada: Responda nos comentários. Rodapé: @arxis.bim.</x:t>
  </x:si>
  <x:si>
    <x:t xml:space="preserve">Qual dúvida você ouve mais durante uma apresentação?
Ao longo da semana, tratamos de apresentação ao cliente com um exemplo e um checklist. Agora queremos ouvir como essa situação aparece no seu trabalho.
Responda nos comentários e conte uma dificuldade ou um aprendizado.
#Arxis #BIM #ConstrucaoDigital</x:t>
  </x:si>
  <x:si>
    <x:t xml:space="preserve">Qual dúvida você ouve mais durante uma apresentação?
Depois do exemplo e do checklist desta semana, queremos ouvir sua experiência. Como sua equipe lida com apresentação ao cliente? Responda nos comentários.</x:t>
  </x:si>
  <x:si>
    <x:t xml:space="preserve">Qual dúvida você ouve mais durante uma apresentação?
Depois do exemplo e do checklist desta semana, queremos ouvir sua experiência. Como sua equipe lida com apresentação ao cliente? Responda nos comentários.
#BIM #ConstrucaoDigital #Engenharia #Arxis</x:t>
  </x:si>
  <x:si>
    <x:t xml:space="preserve">A mesma imagem responde a todas as pessoas?</x:t>
  </x:si>
  <x:si>
    <x:t xml:space="preserve">1. Capa: A mesma imagem responde a todas as pessoas?
2. Comece pela pergunta: Pessoas com responsabilidades diferentes podem precisar de informações distintas. Organize a apresentação para a tarefa de cada participante.
3. Dê contexto ao exemplo: O mesmo ambiente ilustrativo visto por projeto, execução e operação, com perguntas diferentes.
4. Primeiro ponto a observar: Identifique cada participante.
5. O que precisa ser confirmado: Descreva sua tarefa.
6. Fecho: Quem precisa de outro recorte para entender a análise? Envie para quem revisa com você.</x:t>
  </x:si>
  <x:si>
    <x:t xml:space="preserve">Fundo claro, cartões de informação e números em azul. Usar o símbolo da Arxis em posição consistente. Exemplo desta semana: O mesmo ambiente ilustrativo visto por projeto, execução e operação, com perguntas diferentes.</x:t>
  </x:si>
  <x:si>
    <x:t xml:space="preserve">A mesma imagem responde a todas as pessoas?
Pessoas com responsabilidades diferentes podem precisar de informações distintas. Organize a apresentação para a tarefa de cada participante.
Nesta semana, o exemplo será: o mesmo ambiente ilustrativo visto por projeto, execução e operação, com perguntas diferentes.
Envie para quem revisa com você. Quem precisa de outro recorte para entender a análise?
#Arxis #BIM #Projetos</x:t>
  </x:si>
  <x:si>
    <x:t xml:space="preserve">A mesma imagem responde a todas as pessoas?
Pessoas com responsabilidades diferentes podem precisar de informações distintas. Organize a apresentação para a tarefa de cada participante.
As imagens apresentam um exemplo para discutir com a equipe. Quem precisa de outro recorte para entender a análise?</x:t>
  </x:si>
  <x:si>
    <x:t xml:space="preserve">A mesma imagem responde a todas as pessoas?
Pessoas com responsabilidades diferentes podem precisar de informações distintas. Organize a apresentação para a tarefa de cada participante.
As imagens apresentam um exemplo para discutir com a equipe. Quem precisa de outro recorte para entender a análise?
#BIM #ConstrucaoDigital #Engenharia #Arxis</x:t>
  </x:si>
  <x:si>
    <x:t xml:space="preserve">Pontos de vista da equipe
na prática</x:t>
  </x:si>
  <x:si>
    <x:t xml:space="preserve">0 a 3 s: A mesma imagem responde a todas as pessoas?
3 a 9 s: apresentar o exemplo: O mesmo ambiente ilustrativo visto por projeto, execução e operação, com perguntas diferentes.
9 a 17 s: mostrar o primeiro passo: Identifique cada participante.
17 a 25 s: mostrar o segundo passo: Descreva sua tarefa.
25 a 32 s: concluir com a pergunta: Quem precisa de outro recorte para entender a análise?
32 a 35 s: Envie sua dúvida.</x:t>
  </x:si>
  <x:si>
    <x:t xml:space="preserve">A mesma imagem responde a todas as pessoas?
No vídeo, usamos este exemplo: o mesmo ambiente ilustrativo visto por projeto, execução e operação, com perguntas diferentes.
Comece por dois passos:
1. Identifique cada participante.
2. Descreva sua tarefa.
Envie sua dúvida.
#Arxis #BIM #Projetos</x:t>
  </x:si>
  <x:si>
    <x:t xml:space="preserve">A mesma imagem responde a todas as pessoas?
O vídeo usa este exemplo: o mesmo ambiente ilustrativo visto por projeto, execução e operação, com perguntas diferentes.
Comece por estas ações:
1. Identifique cada participante.
2. Descreva sua tarefa.
Envie sua dúvida.</x:t>
  </x:si>
  <x:si>
    <x:t xml:space="preserve">A mesma imagem responde a todas as pessoas?
O vídeo usa este exemplo: o mesmo ambiente ilustrativo visto por projeto, execução e operação, com perguntas diferentes.
Comece por estas ações:
1. Identifique cada participante.
2. Descreva sua tarefa.
Envie sua dúvida.
#BIM #ConstrucaoDigital #Engenharia #Arxis</x:t>
  </x:si>
  <x:si>
    <x:t xml:space="preserve">Pontos de vista da equipe
na prática
A mesma imagem responde a todas as pessoas?
#BIM #Engenharia #Arquitetura #ConstrucaoDigital #Arxis</x:t>
  </x:si>
  <x:si>
    <x:t xml:space="preserve">Pontos de vista da equipe
4 pontos para conferir</x:t>
  </x:si>
  <x:si>
    <x:t xml:space="preserve">1. Capa: Pontos de vista da equipe
4 pontos para conferir
2. Identifique cada participante. Usar o mesmo exemplo da semana para mostrar este ponto.
3. Descreva sua tarefa. Usar o mesmo exemplo da semana para mostrar este ponto.
4. Selecione a informação pertinente. Usar o mesmo exemplo da semana para mostrar este ponto.
5. Reúna as questões comuns. Usar o mesmo exemplo da semana para mostrar este ponto.
6. Checklist completo com os quatro pontos. Fecho: Leve para a próxima reunião.</x:t>
  </x:si>
  <x:si>
    <x:t xml:space="preserve">Quatro pontos para conversar sobre pontos de vista da equipe:
1. Identifique cada participante.
2. Descreva sua tarefa.
3. Selecione a informação pertinente.
4. Reúna as questões comuns.
Use o roteiro no contexto da sua equipe e registre o que ainda depende de confirmação.
Leve para a próxima reunião.
#Arxis #BIM #Projetos</x:t>
  </x:si>
  <x:si>
    <x:t xml:space="preserve">Na próxima conversa sobre pontos de vista da equipe, leve este checklist:
Identifique cada participante.
Descreva sua tarefa.
Selecione a informação pertinente.
Reúna as questões comuns.
A última imagem reúne os quatro pontos. Quem precisa de outro recorte para entender a análise?</x:t>
  </x:si>
  <x:si>
    <x:t xml:space="preserve">Na próxima conversa sobre pontos de vista da equipe, leve este checklist:
Identifique cada participante.
Descreva sua tarefa.
Selecione a informação pertinente.
Reúna as questões comuns.
A última imagem reúne os quatro pontos. Quem precisa de outro recorte para entender a análise?
#BIM #ConstrucaoDigital #Engenharia #Arxis</x:t>
  </x:si>
  <x:si>
    <x:t xml:space="preserve">Quem precisa de outro recorte para entender a análise?</x:t>
  </x:si>
  <x:si>
    <x:t xml:space="preserve">Peça única. Título: Quem precisa de outro recorte para entender a análise?
Apoio: Uma pergunta para quem trabalha com projetos e obras.
Chamada: Responda nos comentários. Rodapé: @arxis.bim.</x:t>
  </x:si>
  <x:si>
    <x:t xml:space="preserve">Quem precisa de outro recorte para entender a análise?
Ao longo da semana, tratamos de pontos de vista da equipe com um exemplo e um checklist. Agora queremos ouvir como essa situação aparece no seu trabalho.
Responda nos comentários e conte uma dificuldade ou um aprendizado.
#Arxis #BIM #Projetos</x:t>
  </x:si>
  <x:si>
    <x:t xml:space="preserve">Quem precisa de outro recorte para entender a análise?
Depois do exemplo e do checklist desta semana, queremos ouvir sua experiência. Como sua equipe lida com pontos de vista da equipe? Responda nos comentários.</x:t>
  </x:si>
  <x:si>
    <x:t xml:space="preserve">Quem precisa de outro recorte para entender a análise?
Depois do exemplo e do checklist desta semana, queremos ouvir sua experiência. Como sua equipe lida com pontos de vista da equipe? Responda nos comentários.
#BIM #ConstrucaoDigital #Engenharia #Arxis</x:t>
  </x:si>
  <x:si>
    <x:t xml:space="preserve">Com o que a equipe deve sair desta reunião?</x:t>
  </x:si>
  <x:si>
    <x:t xml:space="preserve">1. Capa: Com o que a equipe deve sair desta reunião?
2. Comece pela pergunta: Uma reunião pode terminar com uma decisão, uma pendência bem definida ou uma próxima verificação. Registre qual desses resultados foi alcançado.
3. Dê contexto ao exemplo: Uma ata didática curta que distingue decisão tomada de informação ainda aguardada.
4. Primeiro ponto a observar: Defina o resultado esperado.
5. O que precisa ser confirmado: Registre o que foi decidido.
6. Fecho: Como vocês registram o que ficou para depois? Compartilhe com a equipe.</x:t>
  </x:si>
  <x:si>
    <x:t xml:space="preserve">Composição clara com uma imagem ilustrativa e rótulos curtos. Reservar o laranja para o ponto em análise. Exemplo desta semana: Uma ata didática curta que distingue decisão tomada de informação ainda aguardada.</x:t>
  </x:si>
  <x:si>
    <x:t xml:space="preserve">Com o que a equipe deve sair desta reunião?
Uma reunião pode terminar com uma decisão, uma pendência bem definida ou uma próxima verificação. Registre qual desses resultados foi alcançado.
Nesta semana, o exemplo será: uma ata didática curta que distingue decisão tomada de informação ainda aguardada.
Compartilhe com a equipe. Como vocês registram o que ficou para depois?
#Arxis #Engenharia #GestaoDeProjetos</x:t>
  </x:si>
  <x:si>
    <x:t xml:space="preserve">Com o que a equipe deve sair desta reunião?
Uma reunião pode terminar com uma decisão, uma pendência bem definida ou uma próxima verificação. Registre qual desses resultados foi alcançado.
As imagens apresentam um exemplo para discutir com a equipe. Como vocês registram o que ficou para depois?</x:t>
  </x:si>
  <x:si>
    <x:t xml:space="preserve">Com o que a equipe deve sair desta reunião?
Uma reunião pode terminar com uma decisão, uma pendência bem definida ou uma próxima verificação. Registre qual desses resultados foi alcançado.
As imagens apresentam um exemplo para discutir com a equipe. Como vocês registram o que ficou para depois?
#BIM #ConstrucaoDigital #Engenharia #Arxis</x:t>
  </x:si>
  <x:si>
    <x:t xml:space="preserve">Reunião com decisão clara
na prática</x:t>
  </x:si>
  <x:si>
    <x:t xml:space="preserve">0 a 3 s: Com o que a equipe deve sair desta reunião?
3 a 9 s: apresentar o exemplo: Uma ata didática curta que distingue decisão tomada de informação ainda aguardada.
9 a 17 s: mostrar o primeiro passo: Defina o resultado esperado.
17 a 25 s: mostrar o segundo passo: Registre o que foi decidido.
25 a 32 s: concluir com a pergunta: Como vocês registram o que ficou para depois?
32 a 35 s: Compartilhe com a equipe.</x:t>
  </x:si>
  <x:si>
    <x:t xml:space="preserve">Como você abordaria este exemplo de reunião com decisão clara?
No vídeo, usamos este exemplo: uma ata didática curta que distingue decisão tomada de informação ainda aguardada.
Comece por dois passos:
1. Defina o resultado esperado.
2. Registre o que foi decidido.
Compartilhe com a equipe.
#Arxis #Engenharia #GestaoDeProjetos</x:t>
  </x:si>
  <x:si>
    <x:t xml:space="preserve">Com o que a equipe deve sair desta reunião?
O vídeo usa este exemplo: uma ata didática curta que distingue decisão tomada de informação ainda aguardada.
Comece por estas ações:
1. Defina o resultado esperado.
2. Registre o que foi decidido.
Compartilhe com a equipe.</x:t>
  </x:si>
  <x:si>
    <x:t xml:space="preserve">Com o que a equipe deve sair desta reunião?
O vídeo usa este exemplo: uma ata didática curta que distingue decisão tomada de informação ainda aguardada.
Comece por estas ações:
1. Defina o resultado esperado.
2. Registre o que foi decidido.
Compartilhe com a equipe.
#BIM #ConstrucaoDigital #Engenharia #Arxis</x:t>
  </x:si>
  <x:si>
    <x:t xml:space="preserve">Reunião com decisão clara
na prática
Como você abordaria este exemplo de reunião com decisão clara?
#BIM #Engenharia #Arquitetura #ConstrucaoDigital #Arxis</x:t>
  </x:si>
  <x:si>
    <x:t xml:space="preserve">Reunião com decisão clara
4 pontos para conferir</x:t>
  </x:si>
  <x:si>
    <x:t xml:space="preserve">1. Capa: Reunião com decisão clara
4 pontos para conferir
2. Defina o resultado esperado. Usar o mesmo exemplo da semana para mostrar este ponto.
3. Registre o que foi decidido. Usar o mesmo exemplo da semana para mostrar este ponto.
4. Separe o que permanece pendente. Usar o mesmo exemplo da semana para mostrar este ponto.
5. Combine responsáveis e próximos passos. Usar o mesmo exemplo da semana para mostrar este ponto.
6. Checklist completo com os quatro pontos. Fecho: Envie para a equipe.</x:t>
  </x:si>
  <x:si>
    <x:t xml:space="preserve">Quatro pontos para conversar sobre reunião com decisão clara:
1. Defina o resultado esperado.
2. Registre o que foi decidido.
3. Separe o que permanece pendente.
4. Combine responsáveis e próximos passos.
Use o roteiro no contexto da sua equipe e registre o que ainda depende de confirmação.
Envie para a equipe.
#Arxis #Engenharia #GestaoDeProjetos</x:t>
  </x:si>
  <x:si>
    <x:t xml:space="preserve">Na próxima conversa sobre reunião com decisão clara, leve este checklist:
Defina o resultado esperado.
Registre o que foi decidido.
Separe o que permanece pendente.
Combine responsáveis e próximos passos.
A última imagem reúne os quatro pontos. Como vocês registram o que ficou para depois?</x:t>
  </x:si>
  <x:si>
    <x:t xml:space="preserve">Na próxima conversa sobre reunião com decisão clara, leve este checklist:
Defina o resultado esperado.
Registre o que foi decidido.
Separe o que permanece pendente.
Combine responsáveis e próximos passos.
A última imagem reúne os quatro pontos. Como vocês registram o que ficou para depois?
#BIM #ConstrucaoDigital #Engenharia #Arxis</x:t>
  </x:si>
  <x:si>
    <x:t xml:space="preserve">Como vocês registram o que ficou para depois?</x:t>
  </x:si>
  <x:si>
    <x:t xml:space="preserve">Peça única. Título: Como vocês registram o que ficou para depois?
Apoio: Uma pergunta para quem trabalha com projetos e obras.
Chamada: Responda nos comentários. Rodapé: @arxis.bim.</x:t>
  </x:si>
  <x:si>
    <x:t xml:space="preserve">Como vocês registram o que ficou para depois?
Ao longo da semana, tratamos de reunião com decisão clara com um exemplo e um checklist. Agora queremos ouvir como essa situação aparece no seu trabalho.
Responda nos comentários e conte uma dificuldade ou um aprendizado.
#Arxis #Engenharia #GestaoDeProjetos</x:t>
  </x:si>
  <x:si>
    <x:t xml:space="preserve">Como vocês registram o que ficou para depois?
Depois do exemplo e do checklist desta semana, queremos ouvir sua experiência. Como sua equipe lida com reunião com decisão clara? Responda nos comentários.</x:t>
  </x:si>
  <x:si>
    <x:t xml:space="preserve">Como vocês registram o que ficou para depois?
Depois do exemplo e do checklist desta semana, queremos ouvir sua experiência. Como sua equipe lida com reunião com decisão clara? Responda nos comentários.
#BIM #ConstrucaoDigital #Engenharia #Arxis</x:t>
  </x:si>
  <x:si>
    <x:t xml:space="preserve">Como levar uma observação da obra para a revisão?</x:t>
  </x:si>
  <x:si>
    <x:t xml:space="preserve">1. Capa: Como levar uma observação da obra para a revisão?
2. Comece pela pergunta: Uma observação precisa de localização, data e descrição objetiva. Encaminhe o registro para quem pode avaliar a relação com o projeto.
3. Dê contexto ao exemplo: Um registro ilustrativo de campo com foto de referência autorizada ou desenho, localização e pergunta.
4. Primeiro ponto a observar: Identifique local e data.
5. O que precisa ser confirmado: Descreva o observado.
6. Fecho: Qual contexto ajuda a entender uma observação de campo? Conte sua experiência.</x:t>
  </x:si>
  <x:si>
    <x:t xml:space="preserve">Tipografia em destaque e ícones simples. Alternar com uma peça de fundo marinho na pergunta de sábado. Exemplo desta semana: Um registro ilustrativo de campo com foto de referência autorizada ou desenho, localização e pergunta.</x:t>
  </x:si>
  <x:si>
    <x:t xml:space="preserve">Como levar uma observação da obra para a revisão?
Uma observação precisa de localização, data e descrição objetiva. Encaminhe o registro para quem pode avaliar a relação com o projeto.
Nesta semana, o exemplo será: um registro ilustrativo de campo com foto de referência autorizada ou desenho, localização e pergunta.
Conte sua experiência. Qual contexto ajuda a entender uma observação de campo?
#Arxis #BIM #Arquitetura</x:t>
  </x:si>
  <x:si>
    <x:t xml:space="preserve">Como levar uma observação da obra para a revisão?
Uma observação precisa de localização, data e descrição objetiva. Encaminhe o registro para quem pode avaliar a relação com o projeto.
As imagens apresentam um exemplo para discutir com a equipe. Qual contexto ajuda a entender uma observação de campo?</x:t>
  </x:si>
  <x:si>
    <x:t xml:space="preserve">Como levar uma observação da obra para a revisão?
Uma observação precisa de localização, data e descrição objetiva. Encaminhe o registro para quem pode avaliar a relação com o projeto.
As imagens apresentam um exemplo para discutir com a equipe. Qual contexto ajuda a entender uma observação de campo?
#BIM #ConstrucaoDigital #Engenharia #Arxis</x:t>
  </x:si>
  <x:si>
    <x:t xml:space="preserve">Observações de campo
na prática</x:t>
  </x:si>
  <x:si>
    <x:t xml:space="preserve">0 a 3 s: Como levar uma observação da obra para a revisão?
3 a 9 s: apresentar o exemplo: Um registro ilustrativo de campo com foto de referência autorizada ou desenho, localização e pergunta.
9 a 17 s: mostrar o primeiro passo: Identifique local e data.
17 a 25 s: mostrar o segundo passo: Descreva o observado.
25 a 32 s: concluir com a pergunta: Qual contexto ajuda a entender uma observação de campo?
32 a 35 s: Envie PROJETO por mensagem.</x:t>
  </x:si>
  <x:si>
    <x:t xml:space="preserve">Uma pergunta de projeto pode orientar o que precisa ser observado.
No vídeo, usamos este exemplo: um registro ilustrativo de campo com foto de referência autorizada ou desenho, localização e pergunta.
Comece por dois passos:
1. Identifique local e data.
2. Descreva o observado.
Envie PROJETO por mensagem.
#Arxis #BIM #Arquitetura</x:t>
  </x:si>
  <x:si>
    <x:t xml:space="preserve">Como levar uma observação da obra para a revisão?
O vídeo usa este exemplo: um registro ilustrativo de campo com foto de referência autorizada ou desenho, localização e pergunta.
Comece por estas ações:
1. Identifique local e data.
2. Descreva o observado.
Envie PROJETO por mensagem à página.</x:t>
  </x:si>
  <x:si>
    <x:t xml:space="preserve">Como levar uma observação da obra para a revisão?
O vídeo usa este exemplo: um registro ilustrativo de campo com foto de referência autorizada ou desenho, localização e pergunta.
Comece por estas ações:
1. Identifique local e data.
2. Descreva o observado.
Envie PROJETO por mensagem aqui no LinkedIn.
#BIM #ConstrucaoDigital #Engenharia #Arxis</x:t>
  </x:si>
  <x:si>
    <x:t xml:space="preserve">Observações de campo
na prática
Uma pergunta de projeto pode orientar o que precisa ser observado.
#BIM #Engenharia #Arquitetura #ConstrucaoDigital #Arxis</x:t>
  </x:si>
  <x:si>
    <x:t xml:space="preserve">Observações de campo
4 pontos para conferir</x:t>
  </x:si>
  <x:si>
    <x:t xml:space="preserve">1. Capa: Observações de campo
4 pontos para conferir
2. Identifique local e data. Usar o mesmo exemplo da semana para mostrar este ponto.
3. Descreva o observado. Usar o mesmo exemplo da semana para mostrar este ponto.
4. Inclua a referência necessária. Usar o mesmo exemplo da semana para mostrar este ponto.
5. Encaminhe para avaliação responsável. Usar o mesmo exemplo da semana para mostrar este ponto.
6. Checklist completo com os quatro pontos. Fecho: Use no próximo exemplo.</x:t>
  </x:si>
  <x:si>
    <x:t xml:space="preserve">Quatro pontos para conversar sobre observações de campo:
1. Identifique local e data.
2. Descreva o observado.
3. Inclua a referência necessária.
4. Encaminhe para avaliação responsável.
Use o roteiro no contexto da sua equipe e registre o que ainda depende de confirmação.
Use no próximo exemplo.
#Arxis #BIM #Arquitetura</x:t>
  </x:si>
  <x:si>
    <x:t xml:space="preserve">Na próxima conversa sobre observações de campo, leve este checklist:
Identifique local e data.
Descreva o observado.
Inclua a referência necessária.
Encaminhe para avaliação responsável.
A última imagem reúne os quatro pontos. Qual contexto ajuda a entender uma observação de campo?</x:t>
  </x:si>
  <x:si>
    <x:t xml:space="preserve">Na próxima conversa sobre observações de campo, leve este checklist:
Identifique local e data.
Descreva o observado.
Inclua a referência necessária.
Encaminhe para avaliação responsável.
A última imagem reúne os quatro pontos. Qual contexto ajuda a entender uma observação de campo?
#BIM #ConstrucaoDigital #Engenharia #Arxis</x:t>
  </x:si>
  <x:si>
    <x:t xml:space="preserve">Qual é seu desafio
com observações de campo?</x:t>
  </x:si>
  <x:si>
    <x:t xml:space="preserve">Peça única. Título: Qual é seu desafio
com observações de campo?
Apoio: Conte sua área e a tarefa que deseja atender.
Chamada: Envie PROJETO por mensagem. Rodapé: @arxis.bim.</x:t>
  </x:si>
  <x:si>
    <x:t xml:space="preserve">Qual desafio de observações de campo aparece no seu trabalho?
Conte sua área de atuação, o tipo de projeto e a tarefa que você precisa atender. Esse contexto ajuda a conversar sobre a Arxis e a aderência à sua rotina.
Envie PROJETO por mensagem.
#Arxis #BIM #Arquitetura</x:t>
  </x:si>
  <x:si>
    <x:t xml:space="preserve">Vamos conversar sobre observações de campo no seu contexto?
Envie PROJETO por mensagem à página, contando sua área, o tipo de projeto e a tarefa que deseja atender. Assim podemos discutir a Arxis e os próximos passos.</x:t>
  </x:si>
  <x:si>
    <x:t xml:space="preserve">Vamos conversar sobre observações de campo no seu contexto?
Envie PROJETO por mensagem aqui no LinkedIn, contando sua área, o tipo de projeto e a tarefa que deseja atender. Assim podemos discutir a Arxis e os próximos passos.
#BIM #ConstrucaoDigital #Engenharia #Arxis</x:t>
  </x:si>
  <x:si>
    <x:t xml:space="preserve">Qual fluxo cabe em um primeiro experimento?</x:t>
  </x:si>
  <x:si>
    <x:t xml:space="preserve">1. Capa: Qual fluxo cabe em um primeiro experimento?
2. Comece pela pergunta: Escolha uma tarefa limitada, com responsáveis e critério de conclusão. O piloto deve produzir observações que ajudem a decidir o próximo passo.
3. Dê contexto ao exemplo: Um piloto fictício para revisar uma sala, com escopo restrito e uma pergunta definida.
4. Primeiro ponto a observar: Escolha uma tarefa limitada.
5. O que precisa ser confirmado: Defina os participantes.
6. Fecho: Qual tarefa da sua equipe poderia virar um piloto? Salve para a próxima análise.</x:t>
  </x:si>
  <x:si>
    <x:t xml:space="preserve">Fundo branco, títulos em azul marinho e linhas de apoio em laranja. Usar um desenho técnico simples como exemplo. Exemplo desta semana: Um piloto fictício para revisar uma sala, com escopo restrito e uma pergunta definida.</x:t>
  </x:si>
  <x:si>
    <x:t xml:space="preserve">Qual fluxo cabe em um primeiro experimento?
Escolha uma tarefa limitada, com responsáveis e critério de conclusão. O piloto deve produzir observações que ajudem a decidir o próximo passo.
Nesta semana, o exemplo será: um piloto fictício para revisar uma sala, com escopo restrito e uma pergunta definida.
Salve para a próxima análise. Qual tarefa da sua equipe poderia virar um piloto?
#Arxis #BIM #ConstrucaoDigital</x:t>
  </x:si>
  <x:si>
    <x:t xml:space="preserve">Qual fluxo cabe em um primeiro experimento?
Escolha uma tarefa limitada, com responsáveis e critério de conclusão. O piloto deve produzir observações que ajudem a decidir o próximo passo.
As imagens apresentam um exemplo para discutir com a equipe. Qual tarefa da sua equipe poderia virar um piloto?</x:t>
  </x:si>
  <x:si>
    <x:t xml:space="preserve">Qual fluxo cabe em um primeiro experimento?
Escolha uma tarefa limitada, com responsáveis e critério de conclusão. O piloto deve produzir observações que ajudem a decidir o próximo passo.
As imagens apresentam um exemplo para discutir com a equipe. Qual tarefa da sua equipe poderia virar um piloto?
#BIM #ConstrucaoDigital #Engenharia #Arxis</x:t>
  </x:si>
  <x:si>
    <x:t xml:space="preserve">Escolha de piloto
na prática</x:t>
  </x:si>
  <x:si>
    <x:t xml:space="preserve">0 a 3 s: Qual fluxo cabe em um primeiro experimento?
3 a 9 s: apresentar o exemplo: Um piloto fictício para revisar uma sala, com escopo restrito e uma pergunta definida.
9 a 17 s: mostrar o primeiro passo: Escolha uma tarefa limitada.
17 a 25 s: mostrar o segundo passo: Defina os participantes.
25 a 32 s: concluir com a pergunta: Qual tarefa da sua equipe poderia virar um piloto?
32 a 35 s: Salve este exemplo.</x:t>
  </x:si>
  <x:si>
    <x:t xml:space="preserve">Vamos olhar para escolha de piloto em uma situação concreta.
No vídeo, usamos este exemplo: um piloto fictício para revisar uma sala, com escopo restrito e uma pergunta definida.
Comece por dois passos:
1. Escolha uma tarefa limitada.
2. Defina os participantes.
Salve este exemplo.
#Arxis #BIM #ConstrucaoDigital</x:t>
  </x:si>
  <x:si>
    <x:t xml:space="preserve">Qual fluxo cabe em um primeiro experimento?
O vídeo usa este exemplo: um piloto fictício para revisar uma sala, com escopo restrito e uma pergunta definida.
Comece por estas ações:
1. Escolha uma tarefa limitada.
2. Defina os participantes.
Salve este exemplo.</x:t>
  </x:si>
  <x:si>
    <x:t xml:space="preserve">Qual fluxo cabe em um primeiro experimento?
O vídeo usa este exemplo: um piloto fictício para revisar uma sala, com escopo restrito e uma pergunta definida.
Comece por estas ações:
1. Escolha uma tarefa limitada.
2. Defina os participantes.
Salve este exemplo.
#BIM #ConstrucaoDigital #Engenharia #Arxis</x:t>
  </x:si>
  <x:si>
    <x:t xml:space="preserve">Escolha de piloto
na prática
Vamos olhar para escolha de piloto em uma situação concreta.
#BIM #Engenharia #Arquitetura #ConstrucaoDigital #Arxis</x:t>
  </x:si>
  <x:si>
    <x:t xml:space="preserve">Escolha de piloto
4 pontos para conferir</x:t>
  </x:si>
  <x:si>
    <x:t xml:space="preserve">1. Capa: Escolha de piloto
4 pontos para conferir
2. Escolha uma tarefa limitada. Usar o mesmo exemplo da semana para mostrar este ponto.
3. Defina os participantes. Usar o mesmo exemplo da semana para mostrar este ponto.
4. Combine o critério de conclusão. Usar o mesmo exemplo da semana para mostrar este ponto.
5. Registre o aprendizado. Usar o mesmo exemplo da semana para mostrar este ponto.
6. Checklist completo com os quatro pontos. Fecho: Salve o checklist.</x:t>
  </x:si>
  <x:si>
    <x:t xml:space="preserve">Quatro pontos para conversar sobre escolha de piloto:
1. Escolha uma tarefa limitada.
2. Defina os participantes.
3. Combine o critério de conclusão.
4. Registre o aprendizado.
Use o roteiro no contexto da sua equipe e registre o que ainda depende de confirmação.
Salve o checklist.
#Arxis #BIM #ConstrucaoDigital</x:t>
  </x:si>
  <x:si>
    <x:t xml:space="preserve">Na próxima conversa sobre escolha de piloto, leve este checklist:
Escolha uma tarefa limitada.
Defina os participantes.
Combine o critério de conclusão.
Registre o aprendizado.
A última imagem reúne os quatro pontos. Qual tarefa da sua equipe poderia virar um piloto?</x:t>
  </x:si>
  <x:si>
    <x:t xml:space="preserve">Na próxima conversa sobre escolha de piloto, leve este checklist:
Escolha uma tarefa limitada.
Defina os participantes.
Combine o critério de conclusão.
Registre o aprendizado.
A última imagem reúne os quatro pontos. Qual tarefa da sua equipe poderia virar um piloto?
#BIM #ConstrucaoDigital #Engenharia #Arxis</x:t>
  </x:si>
  <x:si>
    <x:t xml:space="preserve">Qual tarefa da sua equipe poderia virar um piloto?</x:t>
  </x:si>
  <x:si>
    <x:t xml:space="preserve">Peça única. Título: Qual tarefa da sua equipe poderia virar um piloto?
Apoio: Uma pergunta para quem trabalha com projetos e obras.
Chamada: Responda nos comentários. Rodapé: @arxis.bim.</x:t>
  </x:si>
  <x:si>
    <x:t xml:space="preserve">Qual tarefa da sua equipe poderia virar um piloto?
Ao longo da semana, tratamos de escolha de piloto com um exemplo e um checklist. Agora queremos ouvir como essa situação aparece no seu trabalho.
Responda nos comentários e conte uma dificuldade ou um aprendizado.
#Arxis #BIM #ConstrucaoDigital</x:t>
  </x:si>
  <x:si>
    <x:t xml:space="preserve">Qual tarefa da sua equipe poderia virar um piloto?
Depois do exemplo e do checklist desta semana, queremos ouvir sua experiência. Como sua equipe lida com escolha de piloto? Responda nos comentários.</x:t>
  </x:si>
  <x:si>
    <x:t xml:space="preserve">Qual tarefa da sua equipe poderia virar um piloto?
Depois do exemplo e do checklist desta semana, queremos ouvir sua experiência. Como sua equipe lida com escolha de piloto? Responda nos comentários.
#BIM #ConstrucaoDigital #Engenharia #Arxis</x:t>
  </x:si>
  <x:si>
    <x:t xml:space="preserve">1. Capa: O treinamento começa por qual tarefa?
2. Comece pela pergunta: Organize o aprendizado a partir do trabalho que a pessoa precisa realizar. Um exercício completo permite observar dúvidas que uma lista de comandos pode deixar passar.
3. Dê contexto ao exemplo: Um exercício didático que começa com uma pergunta, passa pela referência e termina com um registro.
4. Primeiro ponto a observar: Defina a tarefa do exercício.
5. O que precisa ser confirmado: Prepare uma referência acessível.
6. Fecho: Qual tarefa você gostaria de praticar com sua equipe? Envie para quem revisa com você.</x:t>
  </x:si>
  <x:si>
    <x:t xml:space="preserve">Fundo claro, cartões de informação e números em azul. Usar o símbolo da Arxis em posição consistente. Exemplo desta semana: Um exercício didático que começa com uma pergunta, passa pela referência e termina com um registro.</x:t>
  </x:si>
  <x:si>
    <x:t xml:space="preserve">O treinamento começa por qual tarefa?
Organize o aprendizado a partir do trabalho que a pessoa precisa realizar. Um exercício completo permite observar dúvidas que uma lista de comandos pode deixar passar.
Nesta semana, o exemplo será: um exercício didático que começa com uma pergunta, passa pela referência e termina com um registro.
Envie para quem revisa com você. Qual tarefa você gostaria de praticar com sua equipe?
#Arxis #BIM #Projetos</x:t>
  </x:si>
  <x:si>
    <x:t xml:space="preserve">O treinamento começa por qual tarefa?
Organize o aprendizado a partir do trabalho que a pessoa precisa realizar. Um exercício completo permite observar dúvidas que uma lista de comandos pode deixar passar.
As imagens apresentam um exemplo para discutir com a equipe. Qual tarefa você gostaria de praticar com sua equipe?</x:t>
  </x:si>
  <x:si>
    <x:t xml:space="preserve">O treinamento começa por qual tarefa?
Organize o aprendizado a partir do trabalho que a pessoa precisa realizar. Um exercício completo permite observar dúvidas que uma lista de comandos pode deixar passar.
As imagens apresentam um exemplo para discutir com a equipe. Qual tarefa você gostaria de praticar com sua equipe?
#BIM #ConstrucaoDigital #Engenharia #Arxis</x:t>
  </x:si>
  <x:si>
    <x:t xml:space="preserve">Aprendizado da equipe
na prática</x:t>
  </x:si>
  <x:si>
    <x:t xml:space="preserve">0 a 3 s: O treinamento começa por qual tarefa?
3 a 9 s: apresentar o exemplo: Um exercício didático que começa com uma pergunta, passa pela referência e termina com um registro.
9 a 17 s: mostrar o primeiro passo: Defina a tarefa do exercício.
17 a 25 s: mostrar o segundo passo: Prepare uma referência acessível.
25 a 32 s: concluir com a pergunta: Qual tarefa você gostaria de praticar com sua equipe?
32 a 35 s: Envie sua dúvida.</x:t>
  </x:si>
  <x:si>
    <x:t xml:space="preserve">O treinamento começa por qual tarefa?
No vídeo, usamos este exemplo: um exercício didático que começa com uma pergunta, passa pela referência e termina com um registro.
Comece por dois passos:
1. Defina a tarefa do exercício.
2. Prepare uma referência acessível.
Envie sua dúvida.
#Arxis #BIM #Projetos</x:t>
  </x:si>
  <x:si>
    <x:t xml:space="preserve">O treinamento começa por qual tarefa?
O vídeo usa este exemplo: um exercício didático que começa com uma pergunta, passa pela referência e termina com um registro.
Comece por estas ações:
1. Defina a tarefa do exercício.
2. Prepare uma referência acessível.
Envie sua dúvida.</x:t>
  </x:si>
  <x:si>
    <x:t xml:space="preserve">O treinamento começa por qual tarefa?
O vídeo usa este exemplo: um exercício didático que começa com uma pergunta, passa pela referência e termina com um registro.
Comece por estas ações:
1. Defina a tarefa do exercício.
2. Prepare uma referência acessível.
Envie sua dúvida.
#BIM #ConstrucaoDigital #Engenharia #Arxis</x:t>
  </x:si>
  <x:si>
    <x:t xml:space="preserve">Aprendizado da equipe
na prática
O treinamento começa por qual tarefa?
#BIM #Engenharia #Arquitetura #ConstrucaoDigital #Arxis</x:t>
  </x:si>
  <x:si>
    <x:t xml:space="preserve">Aprendizado da equipe
4 pontos para conferir</x:t>
  </x:si>
  <x:si>
    <x:t xml:space="preserve">1. Capa: Aprendizado da equipe
4 pontos para conferir
2. Defina a tarefa do exercício. Usar o mesmo exemplo da semana para mostrar este ponto.
3. Prepare uma referência acessível. Usar o mesmo exemplo da semana para mostrar este ponto.
4. Acompanhe a execução completa. Usar o mesmo exemplo da semana para mostrar este ponto.
5. Registre dúvidas recorrentes. Usar o mesmo exemplo da semana para mostrar este ponto.
6. Checklist completo com os quatro pontos. Fecho: Leve para a próxima reunião.</x:t>
  </x:si>
  <x:si>
    <x:t xml:space="preserve">Quatro pontos para conversar sobre aprendizado da equipe:
1. Defina a tarefa do exercício.
2. Prepare uma referência acessível.
3. Acompanhe a execução completa.
4. Registre dúvidas recorrentes.
Use o roteiro no contexto da sua equipe e registre o que ainda depende de confirmação.
Leve para a próxima reunião.
#Arxis #BIM #Projetos</x:t>
  </x:si>
  <x:si>
    <x:t xml:space="preserve">Na próxima conversa sobre aprendizado da equipe, leve este checklist:
Defina a tarefa do exercício.
Prepare uma referência acessível.
Acompanhe a execução completa.
Registre dúvidas recorrentes.
A última imagem reúne os quatro pontos. Qual tarefa você gostaria de praticar com sua equipe?</x:t>
  </x:si>
  <x:si>
    <x:t xml:space="preserve">Na próxima conversa sobre aprendizado da equipe, leve este checklist:
Defina a tarefa do exercício.
Prepare uma referência acessível.
Acompanhe a execução completa.
Registre dúvidas recorrentes.
A última imagem reúne os quatro pontos. Qual tarefa você gostaria de praticar com sua equipe?
#BIM #ConstrucaoDigital #Engenharia #Arxis</x:t>
  </x:si>
  <x:si>
    <x:t xml:space="preserve">Qual tarefa você gostaria de praticar com sua equipe?</x:t>
  </x:si>
  <x:si>
    <x:t xml:space="preserve">Peça única. Título: Qual tarefa você gostaria de praticar com sua equipe?
Apoio: Uma pergunta para quem trabalha com projetos e obras.
Chamada: Responda nos comentários. Rodapé: @arxis.bim.</x:t>
  </x:si>
  <x:si>
    <x:t xml:space="preserve">Qual tarefa você gostaria de praticar com sua equipe?
Ao longo da semana, tratamos de aprendizado da equipe com um exemplo e um checklist. Agora queremos ouvir como essa situação aparece no seu trabalho.
Responda nos comentários e conte uma dificuldade ou um aprendizado.
#Arxis #BIM #Projetos</x:t>
  </x:si>
  <x:si>
    <x:t xml:space="preserve">Qual tarefa você gostaria de praticar com sua equipe?
Depois do exemplo e do checklist desta semana, queremos ouvir sua experiência. Como sua equipe lida com aprendizado da equipe? Responda nos comentários.</x:t>
  </x:si>
  <x:si>
    <x:t xml:space="preserve">Qual tarefa você gostaria de praticar com sua equipe?
Depois do exemplo e do checklist desta semana, queremos ouvir sua experiência. Como sua equipe lida com aprendizado da equipe? Responda nos comentários.
#BIM #ConstrucaoDigital #Engenharia #Arxis</x:t>
  </x:si>
  <x:si>
    <x:t xml:space="preserve">1. Capa: Como saber se o novo fluxo ajudou?
2. Comece pela pergunta: Defina o que será observado antes do teste e registre as condições da comparação. Tempo de tarefa e necessidade de esclarecimentos podem ser acompanhados com contexto.
3. Dê contexto ao exemplo: Uma ficha de medição vazia para registrar uma tarefa repetida.
4. Primeiro ponto a observar: Escolha o que observar.
5. O que precisa ser confirmado: Registre a situação inicial.
6. Fecho: O que você mediria em um teste de fluxo? Compartilhe com a equipe.</x:t>
  </x:si>
  <x:si>
    <x:t xml:space="preserve">Composição clara com uma imagem ilustrativa e rótulos curtos. Reservar o laranja para o ponto em análise. Exemplo desta semana: Uma ficha de medição vazia para registrar uma tarefa repetida, sem resultados ou percentuais inventados.</x:t>
  </x:si>
  <x:si>
    <x:t xml:space="preserve">Como saber se o novo fluxo ajudou?
Defina o que será observado antes do teste e registre as condições da comparação. Tempo de tarefa e necessidade de esclarecimentos podem ser acompanhados com contexto.
Nesta semana, o exemplo será: uma ficha de medição vazia para registrar uma tarefa repetida.
Compartilhe com a equipe. O que você mediria em um teste de fluxo?
#Arxis #Engenharia #GestaoDeProjetos</x:t>
  </x:si>
  <x:si>
    <x:t xml:space="preserve">Como saber se o novo fluxo ajudou?
Defina o que será observado antes do teste e registre as condições da comparação. Tempo de tarefa e necessidade de esclarecimentos podem ser acompanhados com contexto.
As imagens apresentam um exemplo para discutir com a equipe. O que você mediria em um teste de fluxo?</x:t>
  </x:si>
  <x:si>
    <x:t xml:space="preserve">Como saber se o novo fluxo ajudou?
Defina o que será observado antes do teste e registre as condições da comparação. Tempo de tarefa e necessidade de esclarecimentos podem ser acompanhados com contexto.
As imagens apresentam um exemplo para discutir com a equipe. O que você mediria em um teste de fluxo?
#BIM #ConstrucaoDigital #Engenharia #Arxis</x:t>
  </x:si>
  <x:si>
    <x:t xml:space="preserve">Critérios de sucesso
na prática</x:t>
  </x:si>
  <x:si>
    <x:t xml:space="preserve">0 a 3 s: Como saber se o novo fluxo ajudou?
3 a 9 s: apresentar o exemplo: Uma ficha de medição vazia para registrar uma tarefa repetida.
9 a 17 s: mostrar o primeiro passo: Escolha o que observar.
17 a 25 s: mostrar o segundo passo: Registre a situação inicial.
25 a 32 s: concluir com a pergunta: O que você mediria em um teste de fluxo?
32 a 35 s: Compartilhe com a equipe.</x:t>
  </x:si>
  <x:si>
    <x:t xml:space="preserve">Como você abordaria este exemplo de critérios de sucesso?
No vídeo, usamos este exemplo: uma ficha de medição vazia para registrar uma tarefa repetida.
Comece por dois passos:
1. Escolha o que observar.
2. Registre a situação inicial.
Compartilhe com a equipe.
#Arxis #Engenharia #GestaoDeProjetos</x:t>
  </x:si>
  <x:si>
    <x:t xml:space="preserve">Como saber se o novo fluxo ajudou?
O vídeo usa este exemplo: uma ficha de medição vazia para registrar uma tarefa repetida.
Comece por estas ações:
1. Escolha o que observar.
2. Registre a situação inicial.
Compartilhe com a equipe.</x:t>
  </x:si>
  <x:si>
    <x:t xml:space="preserve">Como saber se o novo fluxo ajudou?
O vídeo usa este exemplo: uma ficha de medição vazia para registrar uma tarefa repetida.
Comece por estas ações:
1. Escolha o que observar.
2. Registre a situação inicial.
Compartilhe com a equipe.
#BIM #ConstrucaoDigital #Engenharia #Arxis</x:t>
  </x:si>
  <x:si>
    <x:t xml:space="preserve">Critérios de sucesso
na prática
Como você abordaria este exemplo de critérios de sucesso?
#BIM #Engenharia #Arquitetura #ConstrucaoDigital #Arxis</x:t>
  </x:si>
  <x:si>
    <x:t xml:space="preserve">Critérios de sucesso
4 pontos para conferir</x:t>
  </x:si>
  <x:si>
    <x:t xml:space="preserve">1. Capa: Critérios de sucesso
4 pontos para conferir
2. Escolha o que observar. Usar o mesmo exemplo da semana para mostrar este ponto.
3. Registre a situação inicial. Usar o mesmo exemplo da semana para mostrar este ponto.
4. Mantenha as condições comparáveis. Usar o mesmo exemplo da semana para mostrar este ponto.
5. Discuta o resultado com a equipe. Usar o mesmo exemplo da semana para mostrar este ponto.
6. Checklist completo com os quatro pontos. Fecho: Envie para a equipe.</x:t>
  </x:si>
  <x:si>
    <x:t xml:space="preserve">Quatro pontos para conversar sobre critérios de sucesso:
1. Escolha o que observar.
2. Registre a situação inicial.
3. Mantenha as condições comparáveis.
4. Discuta o resultado com a equipe.
Use o roteiro no contexto da sua equipe e registre o que ainda depende de confirmação.
Envie para a equipe.
#Arxis #Engenharia #GestaoDeProjetos</x:t>
  </x:si>
  <x:si>
    <x:t xml:space="preserve">Na próxima conversa sobre critérios de sucesso, leve este checklist:
Escolha o que observar.
Registre a situação inicial.
Mantenha as condições comparáveis.
Discuta o resultado com a equipe.
A última imagem reúne os quatro pontos. O que você mediria em um teste de fluxo?</x:t>
  </x:si>
  <x:si>
    <x:t xml:space="preserve">Na próxima conversa sobre critérios de sucesso, leve este checklist:
Escolha o que observar.
Registre a situação inicial.
Mantenha as condições comparáveis.
Discuta o resultado com a equipe.
A última imagem reúne os quatro pontos. O que você mediria em um teste de fluxo?
#BIM #ConstrucaoDigital #Engenharia #Arxis</x:t>
  </x:si>
  <x:si>
    <x:t xml:space="preserve">Peça única. Título: O que você mediria em um teste de fluxo?
Apoio: Uma pergunta para quem trabalha com projetos e obras.
Chamada: Responda nos comentários. Rodapé: @arxis.bim.</x:t>
  </x:si>
  <x:si>
    <x:t xml:space="preserve">O que você mediria em um teste de fluxo?
Ao longo da semana, tratamos de critérios de sucesso com um exemplo e um checklist. Agora queremos ouvir como essa situação aparece no seu trabalho.
Responda nos comentários e conte uma dificuldade ou um aprendizado.
#Arxis #Engenharia #GestaoDeProjetos</x:t>
  </x:si>
  <x:si>
    <x:t xml:space="preserve">O que você mediria em um teste de fluxo?
Depois do exemplo e do checklist desta semana, queremos ouvir sua experiência. Como sua equipe lida com critérios de sucesso? Responda nos comentários.</x:t>
  </x:si>
  <x:si>
    <x:t xml:space="preserve">O que você mediria em um teste de fluxo?
Depois do exemplo e do checklist desta semana, queremos ouvir sua experiência. Como sua equipe lida com critérios de sucesso? Responda nos comentários.
#BIM #ConstrucaoDigital #Engenharia #Arxis</x:t>
  </x:si>
  <x:si>
    <x:t xml:space="preserve">1. Capa: O teste representa a rotina de uso?
2. Comece pela pergunta: Use um exemplo pertinente, os arquivos esperados e as condições reais da equipe. Registre onde o fluxo atende ao pedido e onde ainda precisa de verificação.
3. Dê contexto ao exemplo: Um roteiro de avaliação didático aplicado à leitura de um modelo e ao registro de uma dúvida.
4. Primeiro ponto a observar: Defina a tarefa de avaliação.
5. O que precisa ser confirmado: Use um exemplo representativo.
6. Fecho: Qual condição não pode faltar no teste de uma ferramenta? Conte sua experiência.</x:t>
  </x:si>
  <x:si>
    <x:t xml:space="preserve">Tipografia em destaque e ícones simples. Alternar com uma peça de fundo marinho na pergunta de sábado. Exemplo desta semana: Um roteiro de avaliação didático aplicado à leitura de um modelo e ao registro de uma dúvida.</x:t>
  </x:si>
  <x:si>
    <x:t xml:space="preserve">O teste representa a rotina de uso?
Use um exemplo pertinente, os arquivos esperados e as condições reais da equipe. Registre onde o fluxo atende ao pedido e onde ainda precisa de verificação.
Nesta semana, o exemplo será: um roteiro de avaliação didático aplicado à leitura de um modelo e ao registro de uma dúvida.
Conte sua experiência. Qual condição não pode faltar no teste de uma ferramenta?
#Arxis #BIM #Arquitetura</x:t>
  </x:si>
  <x:si>
    <x:t xml:space="preserve">O teste representa a rotina de uso?
Use um exemplo pertinente, os arquivos esperados e as condições reais da equipe. Registre onde o fluxo atende ao pedido e onde ainda precisa de verificação.
As imagens apresentam um exemplo para discutir com a equipe. Qual condição não pode faltar no teste de uma ferramenta?</x:t>
  </x:si>
  <x:si>
    <x:t xml:space="preserve">O teste representa a rotina de uso?
Use um exemplo pertinente, os arquivos esperados e as condições reais da equipe. Registre onde o fluxo atende ao pedido e onde ainda precisa de verificação.
As imagens apresentam um exemplo para discutir com a equipe. Qual condição não pode faltar no teste de uma ferramenta?
#BIM #ConstrucaoDigital #Engenharia #Arxis</x:t>
  </x:si>
  <x:si>
    <x:t xml:space="preserve">Avaliação de ferramentas
na prática</x:t>
  </x:si>
  <x:si>
    <x:t xml:space="preserve">0 a 3 s: O teste representa a rotina de uso?
3 a 9 s: apresentar o exemplo: Um roteiro de avaliação didático aplicado à leitura de um modelo e ao registro de uma dúvida.
9 a 17 s: mostrar o primeiro passo: Defina a tarefa de avaliação.
17 a 25 s: mostrar o segundo passo: Use um exemplo representativo.
25 a 32 s: concluir com a pergunta: Qual condição não pode faltar no teste de uma ferramenta?
32 a 35 s: Envie PROJETO por mensagem.</x:t>
  </x:si>
  <x:si>
    <x:t xml:space="preserve">Uma pergunta de projeto pode orientar o que precisa ser observado.
No vídeo, usamos este exemplo: um roteiro de avaliação didático aplicado à leitura de um modelo e ao registro de uma dúvida.
Comece por dois passos:
1. Defina a tarefa de avaliação.
2. Use um exemplo representativo.
Envie PROJETO por mensagem.
#Arxis #BIM #Arquitetura</x:t>
  </x:si>
  <x:si>
    <x:t xml:space="preserve">O teste representa a rotina de uso?
O vídeo usa este exemplo: um roteiro de avaliação didático aplicado à leitura de um modelo e ao registro de uma dúvida.
Comece por estas ações:
1. Defina a tarefa de avaliação.
2. Use um exemplo representativo.
Envie PROJETO por mensagem à página.</x:t>
  </x:si>
  <x:si>
    <x:t xml:space="preserve">O teste representa a rotina de uso?
O vídeo usa este exemplo: um roteiro de avaliação didático aplicado à leitura de um modelo e ao registro de uma dúvida.
Comece por estas ações:
1. Defina a tarefa de avaliação.
2. Use um exemplo representativo.
Envie PROJETO por mensagem aqui no LinkedIn.
#BIM #ConstrucaoDigital #Engenharia #Arxis</x:t>
  </x:si>
  <x:si>
    <x:t xml:space="preserve">Avaliação de ferramentas
na prática
Uma pergunta de projeto pode orientar o que precisa ser observado.
#BIM #Engenharia #Arquitetura #ConstrucaoDigital #Arxis</x:t>
  </x:si>
  <x:si>
    <x:t xml:space="preserve">Avaliação de ferramentas
4 pontos para conferir</x:t>
  </x:si>
  <x:si>
    <x:t xml:space="preserve">1. Capa: Avaliação de ferramentas
4 pontos para conferir
2. Defina a tarefa de avaliação. Usar o mesmo exemplo da semana para mostrar este ponto.
3. Use um exemplo representativo. Usar o mesmo exemplo da semana para mostrar este ponto.
4. Observe as condições reais de uso. Usar o mesmo exemplo da semana para mostrar este ponto.
5. Documente atendimentos e limites. Usar o mesmo exemplo da semana para mostrar este ponto.
6. Checklist completo com os quatro pontos. Fecho: Use no próximo exemplo.</x:t>
  </x:si>
  <x:si>
    <x:t xml:space="preserve">Quatro pontos para conversar sobre avaliação de ferramentas:
1. Defina a tarefa de avaliação.
2. Use um exemplo representativo.
3. Observe as condições reais de uso.
4. Documente atendimentos e limites.
Use o roteiro no contexto da sua equipe e registre o que ainda depende de confirmação.
Use no próximo exemplo.
#Arxis #BIM #Arquitetura</x:t>
  </x:si>
  <x:si>
    <x:t xml:space="preserve">Na próxima conversa sobre avaliação de ferramentas, leve este checklist:
Defina a tarefa de avaliação.
Use um exemplo representativo.
Observe as condições reais de uso.
Documente atendimentos e limites.
A última imagem reúne os quatro pontos. Qual condição não pode faltar no teste de uma ferramenta?</x:t>
  </x:si>
  <x:si>
    <x:t xml:space="preserve">Na próxima conversa sobre avaliação de ferramentas, leve este checklist:
Defina a tarefa de avaliação.
Use um exemplo representativo.
Observe as condições reais de uso.
Documente atendimentos e limites.
A última imagem reúne os quatro pontos. Qual condição não pode faltar no teste de uma ferramenta?
#BIM #ConstrucaoDigital #Engenharia #Arxis</x:t>
  </x:si>
  <x:si>
    <x:t xml:space="preserve">Qual é seu desafio
com avaliação de ferramentas?</x:t>
  </x:si>
  <x:si>
    <x:t xml:space="preserve">Peça única. Título: Qual é seu desafio
com avaliação de ferramentas?
Apoio: Conte sua área e a tarefa que deseja atender.
Chamada: Envie PROJETO por mensagem. Rodapé: @arxis.bim.</x:t>
  </x:si>
  <x:si>
    <x:t xml:space="preserve">Qual desafio de avaliação de ferramentas aparece no seu trabalho?
Conte sua área de atuação, o tipo de projeto e a tarefa que você precisa atender. Esse contexto ajuda a conversar sobre a Arxis e a aderência à sua rotina.
Envie PROJETO por mensagem.
#Arxis #BIM #Arquitetura</x:t>
  </x:si>
  <x:si>
    <x:t xml:space="preserve">Vamos conversar sobre avaliação de ferramentas no seu contexto?
Envie PROJETO por mensagem à página, contando sua área, o tipo de projeto e a tarefa que deseja atender. Assim podemos discutir a Arxis e os próximos passos.</x:t>
  </x:si>
  <x:si>
    <x:t xml:space="preserve">Vamos conversar sobre avaliação de ferramentas no seu contexto?
Envie PROJETO por mensagem aqui no LinkedIn, contando sua área, o tipo de projeto e a tarefa que deseja atender. Assim podemos discutir a Arxis e os próximos passos.
#BIM #ConstrucaoDigital #Engenharia #Arxis</x:t>
  </x:si>
  <x:si>
    <x:t xml:space="preserve">A entrega pode ser entendida por quem vai recebê-la?</x:t>
  </x:si>
  <x:si>
    <x:t xml:space="preserve">1. Capa: A entrega pode ser entendida por quem vai recebê-la?
2. Comece pela pergunta: Reúna o conteúdo, as referências e as pendências com um responsável pelo recebimento. Confirme quais informações serão usadas depois da entrega.
3. Dê contexto ao exemplo: Uma lista didática para passagem de informações de uma equipe de projeto à equipe de operação.
4. Primeiro ponto a observar: Identifique o destinatário.
5. O que precisa ser confirmado: Liste os itens combinados.
6. Fecho: Quem participa da conferência da entrega final? Salve para a próxima análise.</x:t>
  </x:si>
  <x:si>
    <x:t xml:space="preserve">Fundo branco, títulos em azul marinho e linhas de apoio em laranja. Usar um desenho técnico simples como exemplo. Exemplo desta semana: Uma lista didática para passagem de informações de uma equipe de projeto à equipe de operação.</x:t>
  </x:si>
  <x:si>
    <x:t xml:space="preserve">A entrega pode ser entendida por quem vai recebê-la?
Reúna o conteúdo, as referências e as pendências com um responsável pelo recebimento. Confirme quais informações serão usadas depois da entrega.
Nesta semana, o exemplo será: uma lista didática para passagem de informações de uma equipe de projeto à equipe de operação.
Salve para a próxima análise. Quem participa da conferência da entrega final?
#Arxis #BIM #ConstrucaoDigital</x:t>
  </x:si>
  <x:si>
    <x:t xml:space="preserve">A entrega pode ser entendida por quem vai recebê-la?
Reúna o conteúdo, as referências e as pendências com um responsável pelo recebimento. Confirme quais informações serão usadas depois da entrega.
As imagens apresentam um exemplo para discutir com a equipe. Quem participa da conferência da entrega final?</x:t>
  </x:si>
  <x:si>
    <x:t xml:space="preserve">A entrega pode ser entendida por quem vai recebê-la?
Reúna o conteúdo, as referências e as pendências com um responsável pelo recebimento. Confirme quais informações serão usadas depois da entrega.
As imagens apresentam um exemplo para discutir com a equipe. Quem participa da conferência da entrega final?
#BIM #ConstrucaoDigital #Engenharia #Arxis</x:t>
  </x:si>
  <x:si>
    <x:t xml:space="preserve">Preparação da entrega final
na prática</x:t>
  </x:si>
  <x:si>
    <x:t xml:space="preserve">0 a 3 s: A entrega pode ser entendida por quem vai recebê-la?
3 a 9 s: apresentar o exemplo: Uma lista didática para passagem de informações de uma equipe de projeto à equipe de operação.
9 a 17 s: mostrar o primeiro passo: Identifique o destinatário.
17 a 25 s: mostrar o segundo passo: Liste os itens combinados.
25 a 32 s: concluir com a pergunta: Quem participa da conferência da entrega final?
32 a 35 s: Salve este exemplo.</x:t>
  </x:si>
  <x:si>
    <x:t xml:space="preserve">Vamos olhar para preparação da entrega final em uma situação concreta.
No vídeo, usamos este exemplo: uma lista didática para passagem de informações de uma equipe de projeto à equipe de operação.
Comece por dois passos:
1. Identifique o destinatário.
2. Liste os itens combinados.
Salve este exemplo.
#Arxis #BIM #ConstrucaoDigital</x:t>
  </x:si>
  <x:si>
    <x:t xml:space="preserve">A entrega pode ser entendida por quem vai recebê-la?
O vídeo usa este exemplo: uma lista didática para passagem de informações de uma equipe de projeto à equipe de operação.
Comece por estas ações:
1. Identifique o destinatário.
2. Liste os itens combinados.
Salve este exemplo.</x:t>
  </x:si>
  <x:si>
    <x:t xml:space="preserve">A entrega pode ser entendida por quem vai recebê-la?
O vídeo usa este exemplo: uma lista didática para passagem de informações de uma equipe de projeto à equipe de operação.
Comece por estas ações:
1. Identifique o destinatário.
2. Liste os itens combinados.
Salve este exemplo.
#BIM #ConstrucaoDigital #Engenharia #Arxis</x:t>
  </x:si>
  <x:si>
    <x:t xml:space="preserve">Preparação da entrega final
na prática
Vamos olhar para preparação da entrega final em uma situação concreta.
#BIM #Engenharia #Arquitetura #ConstrucaoDigital #Arxis</x:t>
  </x:si>
  <x:si>
    <x:t xml:space="preserve">Preparação da entrega final
4 pontos para conferir</x:t>
  </x:si>
  <x:si>
    <x:t xml:space="preserve">1. Capa: Preparação da entrega final
4 pontos para conferir
2. Identifique o destinatário. Usar o mesmo exemplo da semana para mostrar este ponto.
3. Liste os itens combinados. Usar o mesmo exemplo da semana para mostrar este ponto.
4. Confira versões e referências. Usar o mesmo exemplo da semana para mostrar este ponto.
5. Registre o que exige complementação. Usar o mesmo exemplo da semana para mostrar este ponto.
6. Checklist completo com os quatro pontos. Fecho: Salve o checklist.</x:t>
  </x:si>
  <x:si>
    <x:t xml:space="preserve">Quatro pontos para conversar sobre preparação da entrega final:
1. Identifique o destinatário.
2. Liste os itens combinados.
3. Confira versões e referências.
4. Registre o que exige complementação.
Use o roteiro no contexto da sua equipe e registre o que ainda depende de confirmação.
Salve o checklist.
#Arxis #BIM #ConstrucaoDigital</x:t>
  </x:si>
  <x:si>
    <x:t xml:space="preserve">Na próxima conversa sobre preparação da entrega final, leve este checklist:
Identifique o destinatário.
Liste os itens combinados.
Confira versões e referências.
Registre o que exige complementação.
A última imagem reúne os quatro pontos. Quem participa da conferência da entrega final?</x:t>
  </x:si>
  <x:si>
    <x:t xml:space="preserve">Na próxima conversa sobre preparação da entrega final, leve este checklist:
Identifique o destinatário.
Liste os itens combinados.
Confira versões e referências.
Registre o que exige complementação.
A última imagem reúne os quatro pontos. Quem participa da conferência da entrega final?
#BIM #ConstrucaoDigital #Engenharia #Arxis</x:t>
  </x:si>
  <x:si>
    <x:t xml:space="preserve">Quem participa da conferência da entrega final?</x:t>
  </x:si>
  <x:si>
    <x:t xml:space="preserve">Peça única. Título: Quem participa da conferência da entrega final?
Apoio: Uma pergunta para quem trabalha com projetos e obras.
Chamada: Responda nos comentários. Rodapé: @arxis.bim.</x:t>
  </x:si>
  <x:si>
    <x:t xml:space="preserve">Quem participa da conferência da entrega final?
Ao longo da semana, tratamos de preparação da entrega final com um exemplo e um checklist. Agora queremos ouvir como essa situação aparece no seu trabalho.
Responda nos comentários e conte uma dificuldade ou um aprendizado.
#Arxis #BIM #ConstrucaoDigital</x:t>
  </x:si>
  <x:si>
    <x:t xml:space="preserve">Quem participa da conferência da entrega final?
Depois do exemplo e do checklist desta semana, queremos ouvir sua experiência. Como sua equipe lida com preparação da entrega final? Responda nos comentários.</x:t>
  </x:si>
  <x:si>
    <x:t xml:space="preserve">Quem participa da conferência da entrega final?
Depois do exemplo e do checklist desta semana, queremos ouvir sua experiência. Como sua equipe lida com preparação da entrega final? Responda nos comentários.
#BIM #ConstrucaoDigital #Engenharia #Arxis</x:t>
  </x:si>
  <x:si>
    <x:t xml:space="preserve">Como registrar uma diferença observada na execução?</x:t>
  </x:si>
  <x:si>
    <x:t xml:space="preserve">1. Capa: Como registrar uma diferença observada na execução?
2. Comece pela pergunta: Uma diferença observada deve ser descrita e avaliada antes de atualizar os registros do projeto. Defina responsáveis e evidências para manter o contexto do executado.
3. Dê contexto ao exemplo: Duas representações didáticas com uma diferença sinalizada para avaliação.
4. Primeiro ponto a observar: Descreva a diferença observada.
5. O que precisa ser confirmado: Registre a evidência disponível.
6. Fecho: Como sua equipe encaminha diferenças observadas em campo? Envie para quem revisa com você.</x:t>
  </x:si>
  <x:si>
    <x:t xml:space="preserve">Fundo claro, cartões de informação e números em azul. Usar o símbolo da Arxis em posição consistente. Exemplo desta semana: Duas representações didáticas com uma diferença sinalizada para avaliação, sem afirmar conformidade técnica.</x:t>
  </x:si>
  <x:si>
    <x:t xml:space="preserve">Como registrar uma diferença observada na execução?
Uma diferença observada deve ser descrita e avaliada antes de atualizar os registros do projeto. Defina responsáveis e evidências para manter o contexto do executado.
Nesta semana, o exemplo será: duas representações didáticas com uma diferença sinalizada para avaliação.
Envie para quem revisa com você. Como sua equipe encaminha diferenças observadas em campo?
#Arxis #BIM #Projetos</x:t>
  </x:si>
  <x:si>
    <x:t xml:space="preserve">Como registrar uma diferença observada na execução?
Uma diferença observada deve ser descrita e avaliada antes de atualizar os registros do projeto. Defina responsáveis e evidências para manter o contexto do executado.
As imagens apresentam um exemplo para discutir com a equipe. Como sua equipe encaminha diferenças observadas em campo?</x:t>
  </x:si>
  <x:si>
    <x:t xml:space="preserve">Como registrar uma diferença observada na execução?
Uma diferença observada deve ser descrita e avaliada antes de atualizar os registros do projeto. Defina responsáveis e evidências para manter o contexto do executado.
As imagens apresentam um exemplo para discutir com a equipe. Como sua equipe encaminha diferenças observadas em campo?
#BIM #ConstrucaoDigital #Engenharia #Arxis</x:t>
  </x:si>
  <x:si>
    <x:t xml:space="preserve">Registro do executado
na prática</x:t>
  </x:si>
  <x:si>
    <x:t xml:space="preserve">0 a 3 s: Como registrar uma diferença observada na execução?
3 a 9 s: apresentar o exemplo: Duas representações didáticas com uma diferença sinalizada para avaliação.
9 a 17 s: mostrar o primeiro passo: Descreva a diferença observada.
17 a 25 s: mostrar o segundo passo: Registre a evidência disponível.
25 a 32 s: concluir com a pergunta: Como sua equipe encaminha diferenças observadas em campo?
32 a 35 s: Envie sua dúvida.</x:t>
  </x:si>
  <x:si>
    <x:t xml:space="preserve">Como registrar uma diferença observada na execução?
No vídeo, usamos este exemplo: duas representações didáticas com uma diferença sinalizada para avaliação.
Comece por dois passos:
1. Descreva a diferença observada.
2. Registre a evidência disponível.
Envie sua dúvida.
#Arxis #BIM #Projetos</x:t>
  </x:si>
  <x:si>
    <x:t xml:space="preserve">Como registrar uma diferença observada na execução?
O vídeo usa este exemplo: duas representações didáticas com uma diferença sinalizada para avaliação.
Comece por estas ações:
1. Descreva a diferença observada.
2. Registre a evidência disponível.
Envie sua dúvida.</x:t>
  </x:si>
  <x:si>
    <x:t xml:space="preserve">Como registrar uma diferença observada na execução?
O vídeo usa este exemplo: duas representações didáticas com uma diferença sinalizada para avaliação.
Comece por estas ações:
1. Descreva a diferença observada.
2. Registre a evidência disponível.
Envie sua dúvida.
#BIM #ConstrucaoDigital #Engenharia #Arxis</x:t>
  </x:si>
  <x:si>
    <x:t xml:space="preserve">Registro do executado
na prática
Como registrar uma diferença observada na execução?
#BIM #Engenharia #Arquitetura #ConstrucaoDigital #Arxis</x:t>
  </x:si>
  <x:si>
    <x:t xml:space="preserve">Registro do executado
4 pontos para conferir</x:t>
  </x:si>
  <x:si>
    <x:t xml:space="preserve">1. Capa: Registro do executado
4 pontos para conferir
2. Descreva a diferença observada. Usar o mesmo exemplo da semana para mostrar este ponto.
3. Registre a evidência disponível. Usar o mesmo exemplo da semana para mostrar este ponto.
4. Solicite avaliação dos responsáveis. Usar o mesmo exemplo da semana para mostrar este ponto.
5. Documente a atualização confirmada. Usar o mesmo exemplo da semana para mostrar este ponto.
6. Checklist completo com os quatro pontos. Fecho: Leve para a próxima reunião.</x:t>
  </x:si>
  <x:si>
    <x:t xml:space="preserve">Quatro pontos para conversar sobre registro do executado:
1. Descreva a diferença observada.
2. Registre a evidência disponível.
3. Solicite avaliação dos responsáveis.
4. Documente a atualização confirmada.
Use o roteiro no contexto da sua equipe e registre o que ainda depende de confirmação.
Leve para a próxima reunião.
#Arxis #BIM #Projetos</x:t>
  </x:si>
  <x:si>
    <x:t xml:space="preserve">Na próxima conversa sobre registro do executado, leve este checklist:
Descreva a diferença observada.
Registre a evidência disponível.
Solicite avaliação dos responsáveis.
Documente a atualização confirmada.
A última imagem reúne os quatro pontos. Como sua equipe encaminha diferenças observadas em campo?</x:t>
  </x:si>
  <x:si>
    <x:t xml:space="preserve">Na próxima conversa sobre registro do executado, leve este checklist:
Descreva a diferença observada.
Registre a evidência disponível.
Solicite avaliação dos responsáveis.
Documente a atualização confirmada.
A última imagem reúne os quatro pontos. Como sua equipe encaminha diferenças observadas em campo?
#BIM #ConstrucaoDigital #Engenharia #Arxis</x:t>
  </x:si>
  <x:si>
    <x:t xml:space="preserve">Como sua equipe encaminha diferenças observadas em campo?</x:t>
  </x:si>
  <x:si>
    <x:t xml:space="preserve">Peça única. Título: Como sua equipe encaminha diferenças observadas em campo?
Apoio: Uma pergunta para quem trabalha com projetos e obras.
Chamada: Responda nos comentários. Rodapé: @arxis.bim.</x:t>
  </x:si>
  <x:si>
    <x:t xml:space="preserve">Como sua equipe encaminha diferenças observadas em campo?
Ao longo da semana, tratamos de registro do executado com um exemplo e um checklist. Agora queremos ouvir como essa situação aparece no seu trabalho.
Responda nos comentários e conte uma dificuldade ou um aprendizado.
#Arxis #BIM #Projetos</x:t>
  </x:si>
  <x:si>
    <x:t xml:space="preserve">Como sua equipe encaminha diferenças observadas em campo?
Depois do exemplo e do checklist desta semana, queremos ouvir sua experiência. Como sua equipe lida com registro do executado? Responda nos comentários.</x:t>
  </x:si>
  <x:si>
    <x:t xml:space="preserve">Como sua equipe encaminha diferenças observadas em campo?
Depois do exemplo e do checklist desta semana, queremos ouvir sua experiência. Como sua equipe lida com registro do executado? Responda nos comentários.
#BIM #ConstrucaoDigital #Engenharia #Arxis</x:t>
  </x:si>
  <x:si>
    <x:t xml:space="preserve">1. Capa: Que dado será útil depois da obra?
2. Comece pela pergunta: Pergunte a quem vai operar o ativo quais informações serão consultadas. O conteúdo da entrega deve refletir esse uso e a responsabilidade por manter os registros.
3. Dê contexto ao exemplo: Uma ficha ilustrativa de equipamento com identificação, localização e referência documental.
4. Primeiro ponto a observar: Identifique quem vai operar.
5. O que precisa ser confirmado: Liste as consultas necessárias.
6. Fecho: Qual informação você gostaria de receber para operar o ativo? Compartilhe com a equipe.</x:t>
  </x:si>
  <x:si>
    <x:t xml:space="preserve">Composição clara com uma imagem ilustrativa e rótulos curtos. Reservar o laranja para o ponto em análise. Exemplo desta semana: Uma ficha ilustrativa de equipamento com identificação, localização e referência documental.</x:t>
  </x:si>
  <x:si>
    <x:t xml:space="preserve">Que dado será útil depois da obra?
Pergunte a quem vai operar o ativo quais informações serão consultadas. O conteúdo da entrega deve refletir esse uso e a responsabilidade por manter os registros.
Nesta semana, o exemplo será: uma ficha ilustrativa de equipamento com identificação, localização e referência documental.
Compartilhe com a equipe. Qual informação você gostaria de receber para operar o ativo?
#Arxis #Engenharia #GestaoDeProjetos</x:t>
  </x:si>
  <x:si>
    <x:t xml:space="preserve">Que dado será útil depois da obra?
Pergunte a quem vai operar o ativo quais informações serão consultadas. O conteúdo da entrega deve refletir esse uso e a responsabilidade por manter os registros.
As imagens apresentam um exemplo para discutir com a equipe. Qual informação você gostaria de receber para operar o ativo?</x:t>
  </x:si>
  <x:si>
    <x:t xml:space="preserve">Que dado será útil depois da obra?
Pergunte a quem vai operar o ativo quais informações serão consultadas. O conteúdo da entrega deve refletir esse uso e a responsabilidade por manter os registros.
As imagens apresentam um exemplo para discutir com a equipe. Qual informação você gostaria de receber para operar o ativo?
#BIM #ConstrucaoDigital #Engenharia #Arxis</x:t>
  </x:si>
  <x:si>
    <x:t xml:space="preserve">Informação para operação
na prática</x:t>
  </x:si>
  <x:si>
    <x:t xml:space="preserve">0 a 3 s: Que dado será útil depois da obra?
3 a 9 s: apresentar o exemplo: Uma ficha ilustrativa de equipamento com identificação, localização e referência documental.
9 a 17 s: mostrar o primeiro passo: Identifique quem vai operar.
17 a 25 s: mostrar o segundo passo: Liste as consultas necessárias.
25 a 32 s: concluir com a pergunta: Qual informação você gostaria de receber para operar o ativo?
32 a 35 s: Compartilhe com a equipe.</x:t>
  </x:si>
  <x:si>
    <x:t xml:space="preserve">Como você abordaria este exemplo de informação para operação?
No vídeo, usamos este exemplo: uma ficha ilustrativa de equipamento com identificação, localização e referência documental.
Comece por dois passos:
1. Identifique quem vai operar.
2. Liste as consultas necessárias.
Compartilhe com a equipe.
#Arxis #Engenharia #GestaoDeProjetos</x:t>
  </x:si>
  <x:si>
    <x:t xml:space="preserve">Que dado será útil depois da obra?
O vídeo usa este exemplo: uma ficha ilustrativa de equipamento com identificação, localização e referência documental.
Comece por estas ações:
1. Identifique quem vai operar.
2. Liste as consultas necessárias.
Compartilhe com a equipe.</x:t>
  </x:si>
  <x:si>
    <x:t xml:space="preserve">Que dado será útil depois da obra?
O vídeo usa este exemplo: uma ficha ilustrativa de equipamento com identificação, localização e referência documental.
Comece por estas ações:
1. Identifique quem vai operar.
2. Liste as consultas necessárias.
Compartilhe com a equipe.
#BIM #ConstrucaoDigital #Engenharia #Arxis</x:t>
  </x:si>
  <x:si>
    <x:t xml:space="preserve">Informação para operação
na prática
Como você abordaria este exemplo de informação para operação?
#BIM #Engenharia #Arquitetura #ConstrucaoDigital #Arxis</x:t>
  </x:si>
  <x:si>
    <x:t xml:space="preserve">Informação para operação
4 pontos para conferir</x:t>
  </x:si>
  <x:si>
    <x:t xml:space="preserve">1. Capa: Informação para operação
4 pontos para conferir
2. Identifique quem vai operar. Usar o mesmo exemplo da semana para mostrar este ponto.
3. Liste as consultas necessárias. Usar o mesmo exemplo da semana para mostrar este ponto.
4. Reúna as referências pertinentes. Usar o mesmo exemplo da semana para mostrar este ponto.
5. Combine a manutenção dos registros. Usar o mesmo exemplo da semana para mostrar este ponto.
6. Checklist completo com os quatro pontos. Fecho: Envie para a equipe.</x:t>
  </x:si>
  <x:si>
    <x:t xml:space="preserve">Quatro pontos para conversar sobre informação para operação:
1. Identifique quem vai operar.
2. Liste as consultas necessárias.
3. Reúna as referências pertinentes.
4. Combine a manutenção dos registros.
Use o roteiro no contexto da sua equipe e registre o que ainda depende de confirmação.
Envie para a equipe.
#Arxis #Engenharia #GestaoDeProjetos</x:t>
  </x:si>
  <x:si>
    <x:t xml:space="preserve">Na próxima conversa sobre informação para operação, leve este checklist:
Identifique quem vai operar.
Liste as consultas necessárias.
Reúna as referências pertinentes.
Combine a manutenção dos registros.
A última imagem reúne os quatro pontos. Qual informação você gostaria de receber para operar o ativo?</x:t>
  </x:si>
  <x:si>
    <x:t xml:space="preserve">Na próxima conversa sobre informação para operação, leve este checklist:
Identifique quem vai operar.
Liste as consultas necessárias.
Reúna as referências pertinentes.
Combine a manutenção dos registros.
A última imagem reúne os quatro pontos. Qual informação você gostaria de receber para operar o ativo?
#BIM #ConstrucaoDigital #Engenharia #Arxis</x:t>
  </x:si>
  <x:si>
    <x:t xml:space="preserve">Qual informação você gostaria de receber para operar o ativo?</x:t>
  </x:si>
  <x:si>
    <x:t xml:space="preserve">Peça única. Título: Qual informação você gostaria de receber para operar o ativo?
Apoio: Uma pergunta para quem trabalha com projetos e obras.
Chamada: Responda nos comentários. Rodapé: @arxis.bim.</x:t>
  </x:si>
  <x:si>
    <x:t xml:space="preserve">Qual informação você gostaria de receber para operar o ativo?
Ao longo da semana, tratamos de informação para operação com um exemplo e um checklist. Agora queremos ouvir como essa situação aparece no seu trabalho.
Responda nos comentários e conte uma dificuldade ou um aprendizado.
#Arxis #Engenharia #GestaoDeProjetos</x:t>
  </x:si>
  <x:si>
    <x:t xml:space="preserve">Qual informação você gostaria de receber para operar o ativo?
Depois do exemplo e do checklist desta semana, queremos ouvir sua experiência. Como sua equipe lida com informação para operação? Responda nos comentários.</x:t>
  </x:si>
  <x:si>
    <x:t xml:space="preserve">Qual informação você gostaria de receber para operar o ativo?
Depois do exemplo e do checklist desta semana, queremos ouvir sua experiência. Como sua equipe lida com informação para operação? Responda nos comentários.
#BIM #ConstrucaoDigital #Engenharia #Arxis</x:t>
  </x:si>
  <x:si>
    <x:t xml:space="preserve">É possível encontrar a referência quando ela é necessária?</x:t>
  </x:si>
  <x:si>
    <x:t xml:space="preserve">1. Capa: É possível encontrar a referência quando ela é necessária?
2. Comece pela pergunta: Uma entrega pode conter documentos úteis que ficam difíceis de localizar. Organize os vínculos entre item, identificação e documento conforme a rotina de consulta.
3. Dê contexto ao exemplo: Um índice editorial que relaciona três equipamentos fictícios aos respectivos documentos.
4. Primeiro ponto a observar: Identifique o item consultado.
5. O que precisa ser confirmado: Confira a referência documental.
6. Fecho: Como vocês localizam documentos de um equipamento? Conte sua experiência.</x:t>
  </x:si>
  <x:si>
    <x:t xml:space="preserve">Tipografia em destaque e ícones simples. Alternar com uma peça de fundo marinho na pergunta de sábado. Exemplo desta semana: Um índice editorial que relaciona três equipamentos fictícios aos respectivos documentos.</x:t>
  </x:si>
  <x:si>
    <x:t xml:space="preserve">É possível encontrar a referência quando ela é necessária?
Uma entrega pode conter documentos úteis que ficam difíceis de localizar. Organize os vínculos entre item, identificação e documento conforme a rotina de consulta.
Nesta semana, o exemplo será: um índice editorial que relaciona três equipamentos fictícios aos respectivos documentos.
Conte sua experiência. Como vocês localizam documentos de um equipamento?
#Arxis #BIM #Arquitetura</x:t>
  </x:si>
  <x:si>
    <x:t xml:space="preserve">É possível encontrar a referência quando ela é necessária?
Uma entrega pode conter documentos úteis que ficam difíceis de localizar. Organize os vínculos entre item, identificação e documento conforme a rotina de consulta.
As imagens apresentam um exemplo para discutir com a equipe. Como vocês localizam documentos de um equipamento?</x:t>
  </x:si>
  <x:si>
    <x:t xml:space="preserve">É possível encontrar a referência quando ela é necessária?
Uma entrega pode conter documentos úteis que ficam difíceis de localizar. Organize os vínculos entre item, identificação e documento conforme a rotina de consulta.
As imagens apresentam um exemplo para discutir com a equipe. Como vocês localizam documentos de um equipamento?
#BIM #ConstrucaoDigital #Engenharia #Arxis</x:t>
  </x:si>
  <x:si>
    <x:t xml:space="preserve">Localização de documentos
na prática</x:t>
  </x:si>
  <x:si>
    <x:t xml:space="preserve">0 a 3 s: É possível encontrar a referência quando ela é necessária?
3 a 9 s: apresentar o exemplo: Um índice editorial que relaciona três equipamentos fictícios aos respectivos documentos.
9 a 17 s: mostrar o primeiro passo: Identifique o item consultado.
17 a 25 s: mostrar o segundo passo: Confira a referência documental.
25 a 32 s: concluir com a pergunta: Como vocês localizam documentos de um equipamento?
32 a 35 s: Envie ENTREGA por mensagem.</x:t>
  </x:si>
  <x:si>
    <x:t xml:space="preserve">Uma pergunta de projeto pode orientar o que precisa ser observado.
No vídeo, usamos este exemplo: um índice editorial que relaciona três equipamentos fictícios aos respectivos documentos.
Comece por dois passos:
1. Identifique o item consultado.
2. Confira a referência documental.
Envie ENTREGA por mensagem.
#Arxis #BIM #Arquitetura</x:t>
  </x:si>
  <x:si>
    <x:t xml:space="preserve">É possível encontrar a referência quando ela é necessária?
O vídeo usa este exemplo: um índice editorial que relaciona três equipamentos fictícios aos respectivos documentos.
Comece por estas ações:
1. Identifique o item consultado.
2. Confira a referência documental.
Envie ENTREGA por mensagem à página.</x:t>
  </x:si>
  <x:si>
    <x:t xml:space="preserve">É possível encontrar a referência quando ela é necessária?
O vídeo usa este exemplo: um índice editorial que relaciona três equipamentos fictícios aos respectivos documentos.
Comece por estas ações:
1. Identifique o item consultado.
2. Confira a referência documental.
Envie ENTREGA por mensagem aqui no LinkedIn.
#BIM #ConstrucaoDigital #Engenharia #Arxis</x:t>
  </x:si>
  <x:si>
    <x:t xml:space="preserve">Localização de documentos
na prática
Uma pergunta de projeto pode orientar o que precisa ser observado.
#BIM #Engenharia #Arquitetura #ConstrucaoDigital #Arxis</x:t>
  </x:si>
  <x:si>
    <x:t xml:space="preserve">Localização de documentos
4 pontos para conferir</x:t>
  </x:si>
  <x:si>
    <x:t xml:space="preserve">1. Capa: Localização de documentos
4 pontos para conferir
2. Identifique o item consultado. Usar o mesmo exemplo da semana para mostrar este ponto.
3. Confira a referência documental. Usar o mesmo exemplo da semana para mostrar este ponto.
4. Teste o caminho de acesso. Usar o mesmo exemplo da semana para mostrar este ponto.
5. Registre quem mantém o vínculo. Usar o mesmo exemplo da semana para mostrar este ponto.
6. Checklist completo com os quatro pontos. Fecho: Use no próximo exemplo.</x:t>
  </x:si>
  <x:si>
    <x:t xml:space="preserve">Quatro pontos para conversar sobre localização de documentos:
1. Identifique o item consultado.
2. Confira a referência documental.
3. Teste o caminho de acesso.
4. Registre quem mantém o vínculo.
Use o roteiro no contexto da sua equipe e registre o que ainda depende de confirmação.
Use no próximo exemplo.
#Arxis #BIM #Arquitetura</x:t>
  </x:si>
  <x:si>
    <x:t xml:space="preserve">Na próxima conversa sobre localização de documentos, leve este checklist:
Identifique o item consultado.
Confira a referência documental.
Teste o caminho de acesso.
Registre quem mantém o vínculo.
A última imagem reúne os quatro pontos. Como vocês localizam documentos de um equipamento?</x:t>
  </x:si>
  <x:si>
    <x:t xml:space="preserve">Na próxima conversa sobre localização de documentos, leve este checklist:
Identifique o item consultado.
Confira a referência documental.
Teste o caminho de acesso.
Registre quem mantém o vínculo.
A última imagem reúne os quatro pontos. Como vocês localizam documentos de um equipamento?
#BIM #ConstrucaoDigital #Engenharia #Arxis</x:t>
  </x:si>
  <x:si>
    <x:t xml:space="preserve">Qual é seu desafio
com localização de documentos?</x:t>
  </x:si>
  <x:si>
    <x:t xml:space="preserve">Peça única. Título: Qual é seu desafio
com localização de documentos?
Apoio: Conte sua área e a tarefa que deseja atender.
Chamada: Envie ENTREGA por mensagem. Rodapé: @arxis.bim.</x:t>
  </x:si>
  <x:si>
    <x:t xml:space="preserve">Qual desafio de localização de documentos aparece no seu trabalho?
Conte sua área de atuação, o tipo de projeto e a tarefa que você precisa atender. Esse contexto ajuda a conversar sobre a Arxis e a aderência à sua rotina.
Envie ENTREGA por mensagem.
#Arxis #BIM #Arquitetura</x:t>
  </x:si>
  <x:si>
    <x:t xml:space="preserve">Vamos conversar sobre localização de documentos no seu contexto?
Envie ENTREGA por mensagem à página, contando sua área, o tipo de projeto e a tarefa que deseja atender. Assim podemos discutir a Arxis e os próximos passos.</x:t>
  </x:si>
  <x:si>
    <x:t xml:space="preserve">Vamos conversar sobre localização de documentos no seu contexto?
Envie ENTREGA por mensagem aqui no LinkedIn, contando sua área, o tipo de projeto e a tarefa que deseja atender. Assim podemos discutir a Arxis e os próximos passos.
#BIM #ConstrucaoDigital #Engenharia #Arxis</x:t>
  </x:si>
  <x:si>
    <x:t xml:space="preserve">O que merece virar um acordo para o próximo projeto?</x:t>
  </x:si>
  <x:si>
    <x:t xml:space="preserve">1. Capa: O que merece virar um acordo para o próximo projeto?
2. Comece pela pergunta: Uma lição aprendida deve descrever a situação, o aprendizado e a mudança proposta. Escolha um responsável para verificar se o novo acordo será aplicado.
3. Dê contexto ao exemplo: Um registro fictício de dificuldade de revisão transformado em um ajuste de procedimento.
4. Primeiro ponto a observar: Descreva a situação.
5. O que precisa ser confirmado: Registre o aprendizado.
6. Fecho: Qual aprendizado você levaria para o próximo projeto? Salve para a próxima análise.</x:t>
  </x:si>
  <x:si>
    <x:t xml:space="preserve">Fundo branco, títulos em azul marinho e linhas de apoio em laranja. Usar um desenho técnico simples como exemplo. Exemplo desta semana: Um registro fictício de dificuldade de revisão transformado em um ajuste de procedimento.</x:t>
  </x:si>
  <x:si>
    <x:t xml:space="preserve">O que merece virar um acordo para o próximo projeto?
Uma lição aprendida deve descrever a situação, o aprendizado e a mudança proposta. Escolha um responsável para verificar se o novo acordo será aplicado.
Nesta semana, o exemplo será: um registro fictício de dificuldade de revisão transformado em um ajuste de procedimento.
Salve para a próxima análise. Qual aprendizado você levaria para o próximo projeto?
#Arxis #BIM #ConstrucaoDigital</x:t>
  </x:si>
  <x:si>
    <x:t xml:space="preserve">O que merece virar um acordo para o próximo projeto?
Uma lição aprendida deve descrever a situação, o aprendizado e a mudança proposta. Escolha um responsável para verificar se o novo acordo será aplicado.
As imagens apresentam um exemplo para discutir com a equipe. Qual aprendizado você levaria para o próximo projeto?</x:t>
  </x:si>
  <x:si>
    <x:t xml:space="preserve">O que merece virar um acordo para o próximo projeto?
Uma lição aprendida deve descrever a situação, o aprendizado e a mudança proposta. Escolha um responsável para verificar se o novo acordo será aplicado.
As imagens apresentam um exemplo para discutir com a equipe. Qual aprendizado você levaria para o próximo projeto?
#BIM #ConstrucaoDigital #Engenharia #Arxis</x:t>
  </x:si>
  <x:si>
    <x:t xml:space="preserve">Lições aprendidas
na prática</x:t>
  </x:si>
  <x:si>
    <x:t xml:space="preserve">0 a 3 s: O que merece virar um acordo para o próximo projeto?
3 a 9 s: apresentar o exemplo: Um registro fictício de dificuldade de revisão transformado em um ajuste de procedimento.
9 a 17 s: mostrar o primeiro passo: Descreva a situação.
17 a 25 s: mostrar o segundo passo: Registre o aprendizado.
25 a 32 s: concluir com a pergunta: Qual aprendizado você levaria para o próximo projeto?
32 a 35 s: Salve este exemplo.</x:t>
  </x:si>
  <x:si>
    <x:t xml:space="preserve">Vamos olhar para lições aprendidas em uma situação concreta.
No vídeo, usamos este exemplo: um registro fictício de dificuldade de revisão transformado em um ajuste de procedimento.
Comece por dois passos:
1. Descreva a situação.
2. Registre o aprendizado.
Salve este exemplo.
#Arxis #BIM #ConstrucaoDigital</x:t>
  </x:si>
  <x:si>
    <x:t xml:space="preserve">O que merece virar um acordo para o próximo projeto?
O vídeo usa este exemplo: um registro fictício de dificuldade de revisão transformado em um ajuste de procedimento.
Comece por estas ações:
1. Descreva a situação.
2. Registre o aprendizado.
Salve este exemplo.</x:t>
  </x:si>
  <x:si>
    <x:t xml:space="preserve">O que merece virar um acordo para o próximo projeto?
O vídeo usa este exemplo: um registro fictício de dificuldade de revisão transformado em um ajuste de procedimento.
Comece por estas ações:
1. Descreva a situação.
2. Registre o aprendizado.
Salve este exemplo.
#BIM #ConstrucaoDigital #Engenharia #Arxis</x:t>
  </x:si>
  <x:si>
    <x:t xml:space="preserve">Lições aprendidas
na prática
Vamos olhar para lições aprendidas em uma situação concreta.
#BIM #Engenharia #Arquitetura #ConstrucaoDigital #Arxis</x:t>
  </x:si>
  <x:si>
    <x:t xml:space="preserve">Lições aprendidas
4 pontos para conferir</x:t>
  </x:si>
  <x:si>
    <x:t xml:space="preserve">1. Capa: Lições aprendidas
4 pontos para conferir
2. Descreva a situação. Usar o mesmo exemplo da semana para mostrar este ponto.
3. Registre o aprendizado. Usar o mesmo exemplo da semana para mostrar este ponto.
4. Proponha uma mudança concreta. Usar o mesmo exemplo da semana para mostrar este ponto.
5. Defina quem acompanha a aplicação. Usar o mesmo exemplo da semana para mostrar este ponto.
6. Checklist completo com os quatro pontos. Fecho: Salve o checklist.</x:t>
  </x:si>
  <x:si>
    <x:t xml:space="preserve">Quatro pontos para conversar sobre lições aprendidas:
1. Descreva a situação.
2. Registre o aprendizado.
3. Proponha uma mudança concreta.
4. Defina quem acompanha a aplicação.
Use o roteiro no contexto da sua equipe e registre o que ainda depende de confirmação.
Salve o checklist.
#Arxis #BIM #ConstrucaoDigital</x:t>
  </x:si>
  <x:si>
    <x:t xml:space="preserve">Na próxima conversa sobre lições aprendidas, leve este checklist:
Descreva a situação.
Registre o aprendizado.
Proponha uma mudança concreta.
Defina quem acompanha a aplicação.
A última imagem reúne os quatro pontos. Qual aprendizado você levaria para o próximo projeto?</x:t>
  </x:si>
  <x:si>
    <x:t xml:space="preserve">Na próxima conversa sobre lições aprendidas, leve este checklist:
Descreva a situação.
Registre o aprendizado.
Proponha uma mudança concreta.
Defina quem acompanha a aplicação.
A última imagem reúne os quatro pontos. Qual aprendizado você levaria para o próximo projeto?
#BIM #ConstrucaoDigital #Engenharia #Arxis</x:t>
  </x:si>
  <x:si>
    <x:t xml:space="preserve">Qual aprendizado você levaria para o próximo projeto?</x:t>
  </x:si>
  <x:si>
    <x:t xml:space="preserve">Peça única. Título: Qual aprendizado você levaria para o próximo projeto?
Apoio: Uma pergunta para quem trabalha com projetos e obras.
Chamada: Responda nos comentários. Rodapé: @arxis.bim.</x:t>
  </x:si>
  <x:si>
    <x:t xml:space="preserve">Qual aprendizado você levaria para o próximo projeto?
Ao longo da semana, tratamos de lições aprendidas com um exemplo e um checklist. Agora queremos ouvir como essa situação aparece no seu trabalho.
Responda nos comentários e conte uma dificuldade ou um aprendizado.
#Arxis #BIM #ConstrucaoDigital</x:t>
  </x:si>
  <x:si>
    <x:t xml:space="preserve">Qual aprendizado você levaria para o próximo projeto?
Depois do exemplo e do checklist desta semana, queremos ouvir sua experiência. Como sua equipe lida com lições aprendidas? Responda nos comentários.</x:t>
  </x:si>
  <x:si>
    <x:t xml:space="preserve">Qual aprendizado você levaria para o próximo projeto?
Depois do exemplo e do checklist desta semana, queremos ouvir sua experiência. Como sua equipe lida com lições aprendidas? Responda nos comentários.
#BIM #ConstrucaoDigital #Engenharia #Arxis</x:t>
  </x:si>
  <x:si>
    <x:t xml:space="preserve">1. Capa: O padrão combinado ainda atende à rotina?
2. Comece pela pergunta: Revisite os acordos quando a forma de trabalhar mudar. Registre o que será mantido e qual atualização precisa ser comunicada à equipe.
3. Dê contexto ao exemplo: Uma revisão didática de convenção de nomes após a entrada de uma nova disciplina.
4. Primeiro ponto a observar: Liste os acordos em uso.
5. O que precisa ser confirmado: Identifique a mudança na rotina.
6. Fecho: Qual acordo da sua equipe precisa ser revisto? Envie para quem revisa com você.</x:t>
  </x:si>
  <x:si>
    <x:t xml:space="preserve">Fundo claro, cartões de informação e números em azul. Usar o símbolo da Arxis em posição consistente. Exemplo desta semana: Uma revisão didática de convenção de nomes após a entrada de uma nova disciplina.</x:t>
  </x:si>
  <x:si>
    <x:t xml:space="preserve">O padrão combinado ainda atende à rotina?
Revisite os acordos quando a forma de trabalhar mudar. Registre o que será mantido e qual atualização precisa ser comunicada à equipe.
Nesta semana, o exemplo será: uma revisão didática de convenção de nomes após a entrada de uma nova disciplina.
Envie para quem revisa com você. Qual acordo da sua equipe precisa ser revisto?
#Arxis #BIM #Projetos</x:t>
  </x:si>
  <x:si>
    <x:t xml:space="preserve">O padrão combinado ainda atende à rotina?
Revisite os acordos quando a forma de trabalhar mudar. Registre o que será mantido e qual atualização precisa ser comunicada à equipe.
As imagens apresentam um exemplo para discutir com a equipe. Qual acordo da sua equipe precisa ser revisto?</x:t>
  </x:si>
  <x:si>
    <x:t xml:space="preserve">O padrão combinado ainda atende à rotina?
Revisite os acordos quando a forma de trabalhar mudar. Registre o que será mantido e qual atualização precisa ser comunicada à equipe.
As imagens apresentam um exemplo para discutir com a equipe. Qual acordo da sua equipe precisa ser revisto?
#BIM #ConstrucaoDigital #Engenharia #Arxis</x:t>
  </x:si>
  <x:si>
    <x:t xml:space="preserve">Revisão dos acordos
na prática</x:t>
  </x:si>
  <x:si>
    <x:t xml:space="preserve">0 a 3 s: O padrão combinado ainda atende à rotina?
3 a 9 s: apresentar o exemplo: Uma revisão didática de convenção de nomes após a entrada de uma nova disciplina.
9 a 17 s: mostrar o primeiro passo: Liste os acordos em uso.
17 a 25 s: mostrar o segundo passo: Identifique a mudança na rotina.
25 a 32 s: concluir com a pergunta: Qual acordo da sua equipe precisa ser revisto?
32 a 35 s: Envie sua dúvida.</x:t>
  </x:si>
  <x:si>
    <x:t xml:space="preserve">O padrão combinado ainda atende à rotina?
No vídeo, usamos este exemplo: uma revisão didática de convenção de nomes após a entrada de uma nova disciplina.
Comece por dois passos:
1. Liste os acordos em uso.
2. Identifique a mudança na rotina.
Envie sua dúvida.
#Arxis #BIM #Projetos</x:t>
  </x:si>
  <x:si>
    <x:t xml:space="preserve">O padrão combinado ainda atende à rotina?
O vídeo usa este exemplo: uma revisão didática de convenção de nomes após a entrada de uma nova disciplina.
Comece por estas ações:
1. Liste os acordos em uso.
2. Identifique a mudança na rotina.
Envie sua dúvida.</x:t>
  </x:si>
  <x:si>
    <x:t xml:space="preserve">O padrão combinado ainda atende à rotina?
O vídeo usa este exemplo: uma revisão didática de convenção de nomes após a entrada de uma nova disciplina.
Comece por estas ações:
1. Liste os acordos em uso.
2. Identifique a mudança na rotina.
Envie sua dúvida.
#BIM #ConstrucaoDigital #Engenharia #Arxis</x:t>
  </x:si>
  <x:si>
    <x:t xml:space="preserve">Revisão dos acordos
na prática
O padrão combinado ainda atende à rotina?
#BIM #Engenharia #Arquitetura #ConstrucaoDigital #Arxis</x:t>
  </x:si>
  <x:si>
    <x:t xml:space="preserve">Revisão dos acordos
4 pontos para conferir</x:t>
  </x:si>
  <x:si>
    <x:t xml:space="preserve">1. Capa: Revisão dos acordos
4 pontos para conferir
2. Liste os acordos em uso. Usar o mesmo exemplo da semana para mostrar este ponto.
3. Identifique a mudança na rotina. Usar o mesmo exemplo da semana para mostrar este ponto.
4. Discuta os ajustes necessários. Usar o mesmo exemplo da semana para mostrar este ponto.
5. Comunique a versão atualizada. Usar o mesmo exemplo da semana para mostrar este ponto.
6. Checklist completo com os quatro pontos. Fecho: Leve para a próxima reunião.</x:t>
  </x:si>
  <x:si>
    <x:t xml:space="preserve">Quatro pontos para conversar sobre revisão dos acordos:
1. Liste os acordos em uso.
2. Identifique a mudança na rotina.
3. Discuta os ajustes necessários.
4. Comunique a versão atualizada.
Use o roteiro no contexto da sua equipe e registre o que ainda depende de confirmação.
Leve para a próxima reunião.
#Arxis #BIM #Projetos</x:t>
  </x:si>
  <x:si>
    <x:t xml:space="preserve">Na próxima conversa sobre revisão dos acordos, leve este checklist:
Liste os acordos em uso.
Identifique a mudança na rotina.
Discuta os ajustes necessários.
Comunique a versão atualizada.
A última imagem reúne os quatro pontos. Qual acordo da sua equipe precisa ser revisto?</x:t>
  </x:si>
  <x:si>
    <x:t xml:space="preserve">Na próxima conversa sobre revisão dos acordos, leve este checklist:
Liste os acordos em uso.
Identifique a mudança na rotina.
Discuta os ajustes necessários.
Comunique a versão atualizada.
A última imagem reúne os quatro pontos. Qual acordo da sua equipe precisa ser revisto?
#BIM #ConstrucaoDigital #Engenharia #Arxis</x:t>
  </x:si>
  <x:si>
    <x:t xml:space="preserve">Qual acordo da sua equipe precisa ser revisto?</x:t>
  </x:si>
  <x:si>
    <x:t xml:space="preserve">Peça única. Título: Qual acordo da sua equipe precisa ser revisto?
Apoio: Uma pergunta para quem trabalha com projetos e obras.
Chamada: Responda nos comentários. Rodapé: @arxis.bim.</x:t>
  </x:si>
  <x:si>
    <x:t xml:space="preserve">Qual acordo da sua equipe precisa ser revisto?
Ao longo da semana, tratamos de revisão dos acordos com um exemplo e um checklist. Agora queremos ouvir como essa situação aparece no seu trabalho.
Responda nos comentários e conte uma dificuldade ou um aprendizado.
#Arxis #BIM #Projetos</x:t>
  </x:si>
  <x:si>
    <x:t xml:space="preserve">Qual acordo da sua equipe precisa ser revisto?
Depois do exemplo e do checklist desta semana, queremos ouvir sua experiência. Como sua equipe lida com revisão dos acordos? Responda nos comentários.</x:t>
  </x:si>
  <x:si>
    <x:t xml:space="preserve">Qual acordo da sua equipe precisa ser revisto?
Depois do exemplo e do checklist desta semana, queremos ouvir sua experiência. Como sua equipe lida com revisão dos acordos? Responda nos comentários.
#BIM #ConstrucaoDigital #Engenharia #Arxis</x:t>
  </x:si>
  <x:si>
    <x:t xml:space="preserve">1. Capa: Como contar um resultado com contexto?
2. Comece pela pergunta: Um exemplo real precisa mostrar a situação, a ação e a evidência disponível. Diferencie observações de hipóteses e obtenha autorização antes de expor pessoas ou projetos.
3. Dê contexto ao exemplo: Estrutura editorial de caso com campos ainda vazios para evidências.
4. Primeiro ponto a observar: Descreva a situação inicial.
5. O que precisa ser confirmado: Registre a ação realizada.
6. Fecho: Que evidência torna um caso útil para você? Compartilhe com a equipe.</x:t>
  </x:si>
  <x:si>
    <x:t xml:space="preserve">Composição clara com uma imagem ilustrativa e rótulos curtos. Reservar o laranja para o ponto em análise. Exemplo desta semana: Estrutura editorial de caso com campos ainda vazios para evidências, sem depoimento ou resultado inventado.</x:t>
  </x:si>
  <x:si>
    <x:t xml:space="preserve">Como contar um resultado com contexto?
Um exemplo real precisa mostrar a situação, a ação e a evidência disponível. Diferencie observações de hipóteses e obtenha autorização antes de expor pessoas ou projetos.
Nesta semana, o exemplo será: estrutura editorial de caso com campos ainda vazios para evidências.
Compartilhe com a equipe. Que evidência torna um caso útil para você?
#Arxis #Engenharia #GestaoDeProjetos</x:t>
  </x:si>
  <x:si>
    <x:t xml:space="preserve">Como contar um resultado com contexto?
Um exemplo real precisa mostrar a situação, a ação e a evidência disponível. Diferencie observações de hipóteses e obtenha autorização antes de expor pessoas ou projetos.
As imagens apresentam um exemplo para discutir com a equipe. Que evidência torna um caso útil para você?</x:t>
  </x:si>
  <x:si>
    <x:t xml:space="preserve">Como contar um resultado com contexto?
Um exemplo real precisa mostrar a situação, a ação e a evidência disponível. Diferencie observações de hipóteses e obtenha autorização antes de expor pessoas ou projetos.
As imagens apresentam um exemplo para discutir com a equipe. Que evidência torna um caso útil para você?
#BIM #ConstrucaoDigital #Engenharia #Arxis</x:t>
  </x:si>
  <x:si>
    <x:t xml:space="preserve">Evidências de resultado
na prática</x:t>
  </x:si>
  <x:si>
    <x:t xml:space="preserve">0 a 3 s: Como contar um resultado com contexto?
3 a 9 s: apresentar o exemplo: Estrutura editorial de caso com campos ainda vazios para evidências.
9 a 17 s: mostrar o primeiro passo: Descreva a situação inicial.
17 a 25 s: mostrar o segundo passo: Registre a ação realizada.
25 a 32 s: concluir com a pergunta: Que evidência torna um caso útil para você?
32 a 35 s: Compartilhe com a equipe.</x:t>
  </x:si>
  <x:si>
    <x:t xml:space="preserve">Como você abordaria este exemplo de evidências de resultado?
No vídeo, usamos este exemplo: estrutura editorial de caso com campos ainda vazios para evidências.
Comece por dois passos:
1. Descreva a situação inicial.
2. Registre a ação realizada.
Compartilhe com a equipe.
#Arxis #Engenharia #GestaoDeProjetos</x:t>
  </x:si>
  <x:si>
    <x:t xml:space="preserve">Como contar um resultado com contexto?
O vídeo usa este exemplo: estrutura editorial de caso com campos ainda vazios para evidências.
Comece por estas ações:
1. Descreva a situação inicial.
2. Registre a ação realizada.
Compartilhe com a equipe.</x:t>
  </x:si>
  <x:si>
    <x:t xml:space="preserve">Como contar um resultado com contexto?
O vídeo usa este exemplo: estrutura editorial de caso com campos ainda vazios para evidências.
Comece por estas ações:
1. Descreva a situação inicial.
2. Registre a ação realizada.
Compartilhe com a equipe.
#BIM #ConstrucaoDigital #Engenharia #Arxis</x:t>
  </x:si>
  <x:si>
    <x:t xml:space="preserve">Evidências de resultado
na prática
Como você abordaria este exemplo de evidências de resultado?
#BIM #Engenharia #Arquitetura #ConstrucaoDigital #Arxis</x:t>
  </x:si>
  <x:si>
    <x:t xml:space="preserve">Evidências de resultado
4 pontos para conferir</x:t>
  </x:si>
  <x:si>
    <x:t xml:space="preserve">1. Capa: Evidências de resultado
4 pontos para conferir
2. Descreva a situação inicial. Usar o mesmo exemplo da semana para mostrar este ponto.
3. Registre a ação realizada. Usar o mesmo exemplo da semana para mostrar este ponto.
4. Reúna evidências verificáveis. Usar o mesmo exemplo da semana para mostrar este ponto.
5. Confirme a autorização de uso. Usar o mesmo exemplo da semana para mostrar este ponto.
6. Checklist completo com os quatro pontos. Fecho: Envie para a equipe.</x:t>
  </x:si>
  <x:si>
    <x:t xml:space="preserve">Quatro pontos para conversar sobre evidências de resultado:
1. Descreva a situação inicial.
2. Registre a ação realizada.
3. Reúna evidências verificáveis.
4. Confirme a autorização de uso.
Use o roteiro no contexto da sua equipe e registre o que ainda depende de confirmação.
Envie para a equipe.
#Arxis #Engenharia #GestaoDeProjetos</x:t>
  </x:si>
  <x:si>
    <x:t xml:space="preserve">Na próxima conversa sobre evidências de resultado, leve este checklist:
Descreva a situação inicial.
Registre a ação realizada.
Reúna evidências verificáveis.
Confirme a autorização de uso.
A última imagem reúne os quatro pontos. Que evidência torna um caso útil para você?</x:t>
  </x:si>
  <x:si>
    <x:t xml:space="preserve">Na próxima conversa sobre evidências de resultado, leve este checklist:
Descreva a situação inicial.
Registre a ação realizada.
Reúna evidências verificáveis.
Confirme a autorização de uso.
A última imagem reúne os quatro pontos. Que evidência torna um caso útil para você?
#BIM #ConstrucaoDigital #Engenharia #Arxis</x:t>
  </x:si>
  <x:si>
    <x:t xml:space="preserve">Que evidência torna um caso útil para você?</x:t>
  </x:si>
  <x:si>
    <x:t xml:space="preserve">Peça única. Título: Que evidência torna um caso útil para você?
Apoio: Uma pergunta para quem trabalha com projetos e obras.
Chamada: Responda nos comentários. Rodapé: @arxis.bim.</x:t>
  </x:si>
  <x:si>
    <x:t xml:space="preserve">Que evidência torna um caso útil para você?
Ao longo da semana, tratamos de evidências de resultado com um exemplo e um checklist. Agora queremos ouvir como essa situação aparece no seu trabalho.
Responda nos comentários e conte uma dificuldade ou um aprendizado.
#Arxis #Engenharia #GestaoDeProjetos</x:t>
  </x:si>
  <x:si>
    <x:t xml:space="preserve">Que evidência torna um caso útil para você?
Depois do exemplo e do checklist desta semana, queremos ouvir sua experiência. Como sua equipe lida com evidências de resultado? Responda nos comentários.</x:t>
  </x:si>
  <x:si>
    <x:t xml:space="preserve">Que evidência torna um caso útil para você?
Depois do exemplo e do checklist desta semana, queremos ouvir sua experiência. Como sua equipe lida com evidências de resultado? Responda nos comentários.
#BIM #ConstrucaoDigital #Engenharia #Arxis</x:t>
  </x:si>
  <x:si>
    <x:t xml:space="preserve">Quais dúvidas merecem uma resposta permanente?</x:t>
  </x:si>
  <x:si>
    <x:t xml:space="preserve">1. Capa: Quais dúvidas merecem uma resposta permanente?
2. Comece pela pergunta: Organize perguntas recebidas por assunto e escolha exemplos que respondam às dúvidas com clareza. Uma pergunta só deve ser atribuída à audiência quando tiver sido recebida.
3. Dê contexto ao exemplo: Um roteiro editorial de perguntas frequentes sobre leitura de modelos, com exemplo genérico identificado.
4. Primeiro ponto a observar: Reúna as perguntas recebidas.
5. O que precisa ser confirmado: Agrupe por assunto.
6. Fecho: Qual pergunta você quer ver respondida pela Arxis? Conte sua experiência.</x:t>
  </x:si>
  <x:si>
    <x:t xml:space="preserve">Tipografia em destaque e ícones simples. Alternar com uma peça de fundo marinho na pergunta de sábado. Exemplo desta semana: Um roteiro editorial de perguntas frequentes sobre leitura de modelos, com exemplo genérico identificado.</x:t>
  </x:si>
  <x:si>
    <x:t xml:space="preserve">Quais dúvidas merecem uma resposta permanente?
Organize perguntas recebidas por assunto e escolha exemplos que respondam às dúvidas com clareza. Uma pergunta só deve ser atribuída à audiência quando tiver sido recebida.
Nesta semana, o exemplo será: um roteiro editorial de perguntas frequentes sobre leitura de modelos, com exemplo genérico identificado.
Conte sua experiência. Qual pergunta você quer ver respondida pela Arxis?
#Arxis #BIM #Arquitetura</x:t>
  </x:si>
  <x:si>
    <x:t xml:space="preserve">Quais dúvidas merecem uma resposta permanente?
Organize perguntas recebidas por assunto e escolha exemplos que respondam às dúvidas com clareza. Uma pergunta só deve ser atribuída à audiência quando tiver sido recebida.
As imagens apresentam um exemplo para discutir com a equipe. Qual pergunta você quer ver respondida pela Arxis?</x:t>
  </x:si>
  <x:si>
    <x:t xml:space="preserve">Quais dúvidas merecem uma resposta permanente?
Organize perguntas recebidas por assunto e escolha exemplos que respondam às dúvidas com clareza. Uma pergunta só deve ser atribuída à audiência quando tiver sido recebida.
As imagens apresentam um exemplo para discutir com a equipe. Qual pergunta você quer ver respondida pela Arxis?
#BIM #ConstrucaoDigital #Engenharia #Arxis</x:t>
  </x:si>
  <x:si>
    <x:t xml:space="preserve">Perguntas recorrentes
na prática</x:t>
  </x:si>
  <x:si>
    <x:t xml:space="preserve">0 a 3 s: Quais dúvidas merecem uma resposta permanente?
3 a 9 s: apresentar o exemplo: Um roteiro editorial de perguntas frequentes sobre leitura de modelos, com exemplo genérico identificado.
9 a 17 s: mostrar o primeiro passo: Reúna as perguntas recebidas.
17 a 25 s: mostrar o segundo passo: Agrupe por assunto.
25 a 32 s: concluir com a pergunta: Qual pergunta você quer ver respondida pela Arxis?
32 a 35 s: Envie BIM por mensagem.</x:t>
  </x:si>
  <x:si>
    <x:t xml:space="preserve">Uma pergunta de projeto pode orientar o que precisa ser observado.
No vídeo, usamos este exemplo: um roteiro editorial de perguntas frequentes sobre leitura de modelos, com exemplo genérico identificado.
Comece por dois passos:
1. Reúna as perguntas recebidas.
2. Agrupe por assunto.
Envie BIM por mensagem.
#Arxis #BIM #Arquitetura</x:t>
  </x:si>
  <x:si>
    <x:t xml:space="preserve">Quais dúvidas merecem uma resposta permanente?
O vídeo usa este exemplo: um roteiro editorial de perguntas frequentes sobre leitura de modelos, com exemplo genérico identificado.
Comece por estas ações:
1. Reúna as perguntas recebidas.
2. Agrupe por assunto.
Envie BIM por mensagem à página.</x:t>
  </x:si>
  <x:si>
    <x:t xml:space="preserve">Quais dúvidas merecem uma resposta permanente?
O vídeo usa este exemplo: um roteiro editorial de perguntas frequentes sobre leitura de modelos, com exemplo genérico identificado.
Comece por estas ações:
1. Reúna as perguntas recebidas.
2. Agrupe por assunto.
Envie BIM por mensagem aqui no LinkedIn.
#BIM #ConstrucaoDigital #Engenharia #Arxis</x:t>
  </x:si>
  <x:si>
    <x:t xml:space="preserve">Perguntas recorrentes
na prática
Uma pergunta de projeto pode orientar o que precisa ser observado.
#BIM #Engenharia #Arquitetura #ConstrucaoDigital #Arxis</x:t>
  </x:si>
  <x:si>
    <x:t xml:space="preserve">Perguntas recorrentes
4 pontos para conferir</x:t>
  </x:si>
  <x:si>
    <x:t xml:space="preserve">1. Capa: Perguntas recorrentes
4 pontos para conferir
2. Reúna as perguntas recebidas. Usar o mesmo exemplo da semana para mostrar este ponto.
3. Agrupe por assunto. Usar o mesmo exemplo da semana para mostrar este ponto.
4. Prepare um exemplo pertinente. Usar o mesmo exemplo da semana para mostrar este ponto.
5. Revise a resposta antes de publicar. Usar o mesmo exemplo da semana para mostrar este ponto.
6. Checklist completo com os quatro pontos. Fecho: Use no próximo exemplo.</x:t>
  </x:si>
  <x:si>
    <x:t xml:space="preserve">Quatro pontos para conversar sobre perguntas recorrentes:
1. Reúna as perguntas recebidas.
2. Agrupe por assunto.
3. Prepare um exemplo pertinente.
4. Revise a resposta antes de publicar.
Use o roteiro no contexto da sua equipe e registre o que ainda depende de confirmação.
Use no próximo exemplo.
#Arxis #BIM #Arquitetura</x:t>
  </x:si>
  <x:si>
    <x:t xml:space="preserve">Na próxima conversa sobre perguntas recorrentes, leve este checklist:
Reúna as perguntas recebidas.
Agrupe por assunto.
Prepare um exemplo pertinente.
Revise a resposta antes de publicar.
A última imagem reúne os quatro pontos. Qual pergunta você quer ver respondida pela Arxis?</x:t>
  </x:si>
  <x:si>
    <x:t xml:space="preserve">Na próxima conversa sobre perguntas recorrentes, leve este checklist:
Reúna as perguntas recebidas.
Agrupe por assunto.
Prepare um exemplo pertinente.
Revise a resposta antes de publicar.
A última imagem reúne os quatro pontos. Qual pergunta você quer ver respondida pela Arxis?
#BIM #ConstrucaoDigital #Engenharia #Arxis</x:t>
  </x:si>
  <x:si>
    <x:t xml:space="preserve">Qual é seu desafio
com perguntas recorrentes?</x:t>
  </x:si>
  <x:si>
    <x:t xml:space="preserve">Peça única. Título: Qual é seu desafio
com perguntas recorrentes?
Apoio: Conte sua área e a tarefa que deseja atender.
Chamada: Envie BIM por mensagem. Rodapé: @arxis.bim.</x:t>
  </x:si>
  <x:si>
    <x:t xml:space="preserve">Qual desafio de perguntas recorrentes aparece no seu trabalho?
Conte sua área de atuação, o tipo de projeto e a tarefa que você precisa atender. Esse contexto ajuda a conversar sobre a Arxis e a aderência à sua rotina.
Envie BIM por mensagem.
#Arxis #BIM #Arquitetura</x:t>
  </x:si>
  <x:si>
    <x:t xml:space="preserve">Vamos conversar sobre perguntas recorrentes no seu contexto?
Envie BIM por mensagem à página, contando sua área, o tipo de projeto e a tarefa que deseja atender. Assim podemos discutir a Arxis e os próximos passos.</x:t>
  </x:si>
  <x:si>
    <x:t xml:space="preserve">Vamos conversar sobre perguntas recorrentes no seu contexto?
Envie BIM por mensagem aqui no LinkedIn, contando sua área, o tipo de projeto e a tarefa que deseja atender. Assim podemos discutir a Arxis e os próximos passos.
#BIM #ConstrucaoDigital #Engenharia #Arxis</x:t>
  </x:si>
  <x:si>
    <x:t xml:space="preserve">Qual sequência ajuda sua equipe a revisar melhor?</x:t>
  </x:si>
  <x:si>
    <x:t xml:space="preserve">1. Capa: Qual sequência ajuda sua equipe a revisar melhor?
2. Comece pela pergunta: Combine um fluxo pequeno que conecte pergunta, referência, análise e registro. Experimente a sequência e ajuste os pontos que ainda geram dúvidas.
3. Dê contexto ao exemplo: Um fluxo didático completo de revisão de uma alteração de layout.
4. Primeiro ponto a observar: Formule a pergunta.
5. O que precisa ser confirmado: Selecione a referência.
6. Fecho: Qual etapa do seu fluxo merece mais atenção? Salve para a próxima análise.</x:t>
  </x:si>
  <x:si>
    <x:t xml:space="preserve">Fundo branco, títulos em azul marinho e linhas de apoio em laranja. Usar um desenho técnico simples como exemplo. Exemplo desta semana: Um fluxo didático completo de revisão de uma alteração de layout, sem representar automação do aplicativo.</x:t>
  </x:si>
  <x:si>
    <x:t xml:space="preserve">Qual sequência ajuda sua equipe a revisar melhor?
Combine um fluxo pequeno que conecte pergunta, referência, análise e registro. Experimente a sequência e ajuste os pontos que ainda geram dúvidas.
Nesta semana, o exemplo será: um fluxo didático completo de revisão de uma alteração de layout.
Salve para a próxima análise. Qual etapa do seu fluxo merece mais atenção?
#Arxis #BIM #ConstrucaoDigital</x:t>
  </x:si>
  <x:si>
    <x:t xml:space="preserve">Qual sequência ajuda sua equipe a revisar melhor?
Combine um fluxo pequeno que conecte pergunta, referência, análise e registro. Experimente a sequência e ajuste os pontos que ainda geram dúvidas.
As imagens apresentam um exemplo para discutir com a equipe. Qual etapa do seu fluxo merece mais atenção?</x:t>
  </x:si>
  <x:si>
    <x:t xml:space="preserve">Qual sequência ajuda sua equipe a revisar melhor?
Combine um fluxo pequeno que conecte pergunta, referência, análise e registro. Experimente a sequência e ajuste os pontos que ainda geram dúvidas.
As imagens apresentam um exemplo para discutir com a equipe. Qual etapa do seu fluxo merece mais atenção?
#BIM #ConstrucaoDigital #Engenharia #Arxis</x:t>
  </x:si>
  <x:si>
    <x:t xml:space="preserve">Uma rotina para revisar
na prática</x:t>
  </x:si>
  <x:si>
    <x:t xml:space="preserve">0 a 3 s: Qual sequência ajuda sua equipe a revisar melhor?
3 a 9 s: apresentar o exemplo: Um fluxo didático completo de revisão de uma alteração de layout.
9 a 17 s: mostrar o primeiro passo: Formule a pergunta.
17 a 25 s: mostrar o segundo passo: Selecione a referência.
25 a 32 s: concluir com a pergunta: Qual etapa do seu fluxo merece mais atenção?
32 a 35 s: Salve este exemplo.</x:t>
  </x:si>
  <x:si>
    <x:t xml:space="preserve">Vamos olhar para uma rotina para revisar em uma situação concreta.
No vídeo, usamos este exemplo: um fluxo didático completo de revisão de uma alteração de layout.
Comece por dois passos:
1. Formule a pergunta.
2. Selecione a referência.
Salve este exemplo.
#Arxis #BIM #ConstrucaoDigital</x:t>
  </x:si>
  <x:si>
    <x:t xml:space="preserve">Qual sequência ajuda sua equipe a revisar melhor?
O vídeo usa este exemplo: um fluxo didático completo de revisão de uma alteração de layout.
Comece por estas ações:
1. Formule a pergunta.
2. Selecione a referência.
Salve este exemplo.</x:t>
  </x:si>
  <x:si>
    <x:t xml:space="preserve">Qual sequência ajuda sua equipe a revisar melhor?
O vídeo usa este exemplo: um fluxo didático completo de revisão de uma alteração de layout.
Comece por estas ações:
1. Formule a pergunta.
2. Selecione a referência.
Salve este exemplo.
#BIM #ConstrucaoDigital #Engenharia #Arxis</x:t>
  </x:si>
  <x:si>
    <x:t xml:space="preserve">Uma rotina para revisar
na prática
Vamos olhar para uma rotina para revisar em uma situação concreta.
#BIM #Engenharia #Arquitetura #ConstrucaoDigital #Arxis</x:t>
  </x:si>
  <x:si>
    <x:t xml:space="preserve">Uma rotina para revisar
4 pontos para conferir</x:t>
  </x:si>
  <x:si>
    <x:t xml:space="preserve">1. Capa: Uma rotina para revisar
4 pontos para conferir
2. Formule a pergunta. Usar o mesmo exemplo da semana para mostrar este ponto.
3. Selecione a referência. Usar o mesmo exemplo da semana para mostrar este ponto.
4. Registre a análise necessária. Usar o mesmo exemplo da semana para mostrar este ponto.
5. Defina o encaminhamento. Usar o mesmo exemplo da semana para mostrar este ponto.
6. Checklist completo com os quatro pontos. Fecho: Salve o checklist.</x:t>
  </x:si>
  <x:si>
    <x:t xml:space="preserve">Quatro pontos para conversar sobre uma rotina para revisar:
1. Formule a pergunta.
2. Selecione a referência.
3. Registre a análise necessária.
4. Defina o encaminhamento.
Use o roteiro no contexto da sua equipe e registre o que ainda depende de confirmação.
Salve o checklist.
#Arxis #BIM #ConstrucaoDigital</x:t>
  </x:si>
  <x:si>
    <x:t xml:space="preserve">Na próxima conversa sobre uma rotina para revisar, leve este checklist:
Formule a pergunta.
Selecione a referência.
Registre a análise necessária.
Defina o encaminhamento.
A última imagem reúne os quatro pontos. Qual etapa do seu fluxo merece mais atenção?</x:t>
  </x:si>
  <x:si>
    <x:t xml:space="preserve">Na próxima conversa sobre uma rotina para revisar, leve este checklist:
Formule a pergunta.
Selecione a referência.
Registre a análise necessária.
Defina o encaminhamento.
A última imagem reúne os quatro pontos. Qual etapa do seu fluxo merece mais atenção?
#BIM #ConstrucaoDigital #Engenharia #Arxis</x:t>
  </x:si>
  <x:si>
    <x:t xml:space="preserve">Qual etapa do seu fluxo merece mais atenção?</x:t>
  </x:si>
  <x:si>
    <x:t xml:space="preserve">Peça única. Título: Qual etapa do seu fluxo merece mais atenção?
Apoio: Uma pergunta para quem trabalha com projetos e obras.
Chamada: Responda nos comentários. Rodapé: @arxis.bim.</x:t>
  </x:si>
  <x:si>
    <x:t xml:space="preserve">Qual etapa do seu fluxo merece mais atenção?
Ao longo da semana, tratamos de uma rotina para revisar com um exemplo e um checklist. Agora queremos ouvir como essa situação aparece no seu trabalho.
Responda nos comentários e conte uma dificuldade ou um aprendizado.
#Arxis #BIM #ConstrucaoDigital</x:t>
  </x:si>
  <x:si>
    <x:t xml:space="preserve">Qual etapa do seu fluxo merece mais atenção?
Depois do exemplo e do checklist desta semana, queremos ouvir sua experiência. Como sua equipe lida com uma rotina para revisar? Responda nos comentários.</x:t>
  </x:si>
  <x:si>
    <x:t xml:space="preserve">Qual etapa do seu fluxo merece mais atenção?
Depois do exemplo e do checklist desta semana, queremos ouvir sua experiência. Como sua equipe lida com uma rotina para revisar? Responda nos comentários.
#BIM #ConstrucaoDigital #Engenharia #Arxis</x:t>
  </x:si>
  <x:si>
    <x:t xml:space="preserve">O que contar para avaliar a Arxis no seu contexto?</x:t>
  </x:si>
  <x:si>
    <x:t xml:space="preserve">1. Capa: O que contar para avaliar a Arxis no seu contexto?
2. Comece pela pergunta: Uma conversa sobre a ferramenta começa pela tarefa, pelas informações usadas e pelas pessoas envolvidas. Descrever esse contexto ajuda a discutir aderência e próximos passos.
3. Dê contexto ao exemplo: Uma ficha editorial de conversa com área de atuação, tipo de projeto e desafio principal.
4. Primeiro ponto a observar: Informe sua área de atuação.
5. O que precisa ser confirmado: Descreva o tipo de projeto.
6. Fecho: Qual desafio você quer conversar com a Arxis? Envie para quem revisa com você.</x:t>
  </x:si>
  <x:si>
    <x:t xml:space="preserve">Fundo claro, cartões de informação e números em azul. Usar o símbolo da Arxis em posição consistente. Exemplo desta semana: Uma ficha editorial de conversa com área de atuação, tipo de projeto e desafio principal.</x:t>
  </x:si>
  <x:si>
    <x:t xml:space="preserve">O que contar para avaliar a Arxis no seu contexto?
Uma conversa sobre a ferramenta começa pela tarefa, pelas informações usadas e pelas pessoas envolvidas. Descrever esse contexto ajuda a discutir aderência e próximos passos.
Nesta semana, o exemplo será: uma ficha editorial de conversa com área de atuação, tipo de projeto e desafio principal.
Envie para quem revisa com você. Qual desafio você quer conversar com a Arxis?
#Arxis #BIM #Projetos</x:t>
  </x:si>
  <x:si>
    <x:t xml:space="preserve">O que contar para avaliar a Arxis no seu contexto?
Uma conversa sobre a ferramenta começa pela tarefa, pelas informações usadas e pelas pessoas envolvidas. Descrever esse contexto ajuda a discutir aderência e próximos passos.
As imagens apresentam um exemplo para discutir com a equipe. Qual desafio você quer conversar com a Arxis?</x:t>
  </x:si>
  <x:si>
    <x:t xml:space="preserve">O que contar para avaliar a Arxis no seu contexto?
Uma conversa sobre a ferramenta começa pela tarefa, pelas informações usadas e pelas pessoas envolvidas. Descrever esse contexto ajuda a discutir aderência e próximos passos.
As imagens apresentam um exemplo para discutir com a equipe. Qual desafio você quer conversar com a Arxis?
#BIM #ConstrucaoDigital #Engenharia #Arxis</x:t>
  </x:si>
  <x:si>
    <x:t xml:space="preserve">Contexto para conversar com a Arxis
na prática</x:t>
  </x:si>
  <x:si>
    <x:t xml:space="preserve">0 a 3 s: O que contar para avaliar a Arxis no seu contexto?
3 a 9 s: apresentar o exemplo: Uma ficha editorial de conversa com área de atuação, tipo de projeto e desafio principal.
9 a 17 s: mostrar o primeiro passo: Informe sua área de atuação.
17 a 25 s: mostrar o segundo passo: Descreva o tipo de projeto.
25 a 32 s: concluir com a pergunta: Qual desafio você quer conversar com a Arxis?
32 a 35 s: Envie sua dúvida.</x:t>
  </x:si>
  <x:si>
    <x:t xml:space="preserve">O que contar para avaliar a Arxis no seu contexto?
No vídeo, usamos este exemplo: uma ficha editorial de conversa com área de atuação, tipo de projeto e desafio principal.
Comece por dois passos:
1. Informe sua área de atuação.
2. Descreva o tipo de projeto.
Envie sua dúvida.
#Arxis #BIM #Projetos</x:t>
  </x:si>
  <x:si>
    <x:t xml:space="preserve">O que contar para avaliar a Arxis no seu contexto?
O vídeo usa este exemplo: uma ficha editorial de conversa com área de atuação, tipo de projeto e desafio principal.
Comece por estas ações:
1. Informe sua área de atuação.
2. Descreva o tipo de projeto.
Envie sua dúvida.</x:t>
  </x:si>
  <x:si>
    <x:t xml:space="preserve">O que contar para avaliar a Arxis no seu contexto?
O vídeo usa este exemplo: uma ficha editorial de conversa com área de atuação, tipo de projeto e desafio principal.
Comece por estas ações:
1. Informe sua área de atuação.
2. Descreva o tipo de projeto.
Envie sua dúvida.
#BIM #ConstrucaoDigital #Engenharia #Arxis</x:t>
  </x:si>
  <x:si>
    <x:t xml:space="preserve">Contexto para conversar com a Arxis
na prática
O que contar para avaliar a Arxis no seu contexto?
#BIM #Engenharia #Arquitetura #ConstrucaoDigital #Arxis</x:t>
  </x:si>
  <x:si>
    <x:t xml:space="preserve">Contexto para conversar com a Arxis
4 pontos para conferir</x:t>
  </x:si>
  <x:si>
    <x:t xml:space="preserve">1. Capa: Contexto para conversar com a Arxis
4 pontos para conferir
2. Informe sua área de atuação. Usar o mesmo exemplo da semana para mostrar este ponto.
3. Descreva o tipo de projeto. Usar o mesmo exemplo da semana para mostrar este ponto.
4. Explique a tarefa que deseja atender. Usar o mesmo exemplo da semana para mostrar este ponto.
5. Liste as condições relevantes de uso. Usar o mesmo exemplo da semana para mostrar este ponto.
6. Checklist completo com os quatro pontos. Fecho: Leve para a próxima reunião.</x:t>
  </x:si>
  <x:si>
    <x:t xml:space="preserve">Quatro pontos para conversar sobre contexto para conversar com a Arxis:
1. Informe sua área de atuação.
2. Descreva o tipo de projeto.
3. Explique a tarefa que deseja atender.
4. Liste as condições relevantes de uso.
Use o roteiro no contexto da sua equipe e registre o que ainda depende de confirmação.
Leve para a próxima reunião.
#Arxis #BIM #Projetos</x:t>
  </x:si>
  <x:si>
    <x:t xml:space="preserve">Na próxima conversa sobre contexto para conversar com a Arxis, leve este checklist:
Informe sua área de atuação.
Descreva o tipo de projeto.
Explique a tarefa que deseja atender.
Liste as condições relevantes de uso.
A última imagem reúne os quatro pontos. Qual desafio você quer conversar com a Arxis?</x:t>
  </x:si>
  <x:si>
    <x:t xml:space="preserve">Na próxima conversa sobre contexto para conversar com a Arxis, leve este checklist:
Informe sua área de atuação.
Descreva o tipo de projeto.
Explique a tarefa que deseja atender.
Liste as condições relevantes de uso.
A última imagem reúne os quatro pontos. Qual desafio você quer conversar com a Arxis?
#BIM #ConstrucaoDigital #Engenharia #Arxis</x:t>
  </x:si>
  <x:si>
    <x:t xml:space="preserve">Qual desafio você quer conversar com a Arxis?</x:t>
  </x:si>
  <x:si>
    <x:t xml:space="preserve">Peça única. Título: Qual desafio você quer conversar com a Arxis?
Apoio: Uma pergunta para quem trabalha com projetos e obras.
Chamada: Responda nos comentários. Rodapé: @arxis.bim.</x:t>
  </x:si>
  <x:si>
    <x:t xml:space="preserve">Qual desafio você quer conversar com a Arxis?
Ao longo da semana, tratamos de contexto para conversar com a Arxis com um exemplo e um checklist. Agora queremos ouvir como essa situação aparece no seu trabalho.
Responda nos comentários e conte uma dificuldade ou um aprendizado.
#Arxis #BIM #Projetos</x:t>
  </x:si>
  <x:si>
    <x:t xml:space="preserve">Qual desafio você quer conversar com a Arxis?
Depois do exemplo e do checklist desta semana, queremos ouvir sua experiência. Como sua equipe lida com contexto para conversar com a Arxis? Responda nos comentários.</x:t>
  </x:si>
  <x:si>
    <x:t xml:space="preserve">Qual desafio você quer conversar com a Arxis?
Depois do exemplo e do checklist desta semana, queremos ouvir sua experiência. Como sua equipe lida com contexto para conversar com a Arxis? Responda nos comentários.
#BIM #ConstrucaoDigital #Engenharia #Arxis</x:t>
  </x:si>
  <x:si>
    <x:t xml:space="preserve">Qual melhoria faz sentido depois do primeiro passo?</x:t>
  </x:si>
  <x:si>
    <x:t xml:space="preserve">1. Capa: Qual melhoria faz sentido depois do primeiro passo?
2. Comece pela pergunta: Use os aprendizados do fluxo atual para escolher uma próxima tarefa. A mudança deve ter um motivo claro e um modo de observar se atendeu ao pedido.
3. Dê contexto ao exemplo: Uma lista didática de três possíveis melhorias, com uma escolha justificada pelo aprendizado anterior.
4. Primeiro ponto a observar: Reúna o aprendizado do fluxo atual.
5. O que precisa ser confirmado: Liste as necessidades restantes.
6. Fecho: Qual será o próximo passo da sua equipe? Compartilhe com a equipe.</x:t>
  </x:si>
  <x:si>
    <x:t xml:space="preserve">Composição clara com uma imagem ilustrativa e rótulos curtos. Reservar o laranja para o ponto em análise. Exemplo desta semana: Uma lista didática de três possíveis melhorias, com uma escolha justificada pelo aprendizado anterior.</x:t>
  </x:si>
  <x:si>
    <x:t xml:space="preserve">Qual melhoria faz sentido depois do primeiro passo?
Use os aprendizados do fluxo atual para escolher uma próxima tarefa. A mudança deve ter um motivo claro e um modo de observar se atendeu ao pedido.
Nesta semana, o exemplo será: uma lista didática de três possíveis melhorias, com uma escolha justificada pelo aprendizado anterior.
Compartilhe com a equipe. Qual será o próximo passo da sua equipe?
#Arxis #Engenharia #GestaoDeProjetos</x:t>
  </x:si>
  <x:si>
    <x:t xml:space="preserve">Qual melhoria faz sentido depois do primeiro passo?
Use os aprendizados do fluxo atual para escolher uma próxima tarefa. A mudança deve ter um motivo claro e um modo de observar se atendeu ao pedido.
As imagens apresentam um exemplo para discutir com a equipe. Qual será o próximo passo da sua equipe?</x:t>
  </x:si>
  <x:si>
    <x:t xml:space="preserve">Qual melhoria faz sentido depois do primeiro passo?
Use os aprendizados do fluxo atual para escolher uma próxima tarefa. A mudança deve ter um motivo claro e um modo de observar se atendeu ao pedido.
As imagens apresentam um exemplo para discutir com a equipe. Qual será o próximo passo da sua equipe?
#BIM #ConstrucaoDigital #Engenharia #Arxis</x:t>
  </x:si>
  <x:si>
    <x:t xml:space="preserve">Escolha do próximo avanço
na prática</x:t>
  </x:si>
  <x:si>
    <x:t xml:space="preserve">0 a 3 s: Qual melhoria faz sentido depois do primeiro passo?
3 a 9 s: apresentar o exemplo: Uma lista didática de três possíveis melhorias, com uma escolha justificada pelo aprendizado anterior.
9 a 17 s: mostrar o primeiro passo: Reúna o aprendizado do fluxo atual.
17 a 25 s: mostrar o segundo passo: Liste as necessidades restantes.
25 a 32 s: concluir com a pergunta: Qual será o próximo passo da sua equipe?
32 a 35 s: Compartilhe com a equipe.</x:t>
  </x:si>
  <x:si>
    <x:t xml:space="preserve">Como você abordaria este exemplo de escolha do próximo avanço?
No vídeo, usamos este exemplo: uma lista didática de três possíveis melhorias, com uma escolha justificada pelo aprendizado anterior.
Comece por dois passos:
1. Reúna o aprendizado do fluxo atual.
2. Liste as necessidades restantes.
Compartilhe com a equipe.
#Arxis #Engenharia #GestaoDeProjetos</x:t>
  </x:si>
  <x:si>
    <x:t xml:space="preserve">Qual melhoria faz sentido depois do primeiro passo?
O vídeo usa este exemplo: uma lista didática de três possíveis melhorias, com uma escolha justificada pelo aprendizado anterior.
Comece por estas ações:
1. Reúna o aprendizado do fluxo atual.
2. Liste as necessidades restantes.
Compartilhe com a equipe.</x:t>
  </x:si>
  <x:si>
    <x:t xml:space="preserve">Qual melhoria faz sentido depois do primeiro passo?
O vídeo usa este exemplo: uma lista didática de três possíveis melhorias, com uma escolha justificada pelo aprendizado anterior.
Comece por estas ações:
1. Reúna o aprendizado do fluxo atual.
2. Liste as necessidades restantes.
Compartilhe com a equipe.
#BIM #ConstrucaoDigital #Engenharia #Arxis</x:t>
  </x:si>
  <x:si>
    <x:t xml:space="preserve">Escolha do próximo avanço
na prática
Como você abordaria este exemplo de escolha do próximo avanço?
#BIM #Engenharia #Arquitetura #ConstrucaoDigital #Arxis</x:t>
  </x:si>
  <x:si>
    <x:t xml:space="preserve">Escolha do próximo avanço
4 pontos para conferir</x:t>
  </x:si>
  <x:si>
    <x:t xml:space="preserve">1. Capa: Escolha do próximo avanço
4 pontos para conferir
2. Reúna o aprendizado do fluxo atual. Usar o mesmo exemplo da semana para mostrar este ponto.
3. Liste as necessidades restantes. Usar o mesmo exemplo da semana para mostrar este ponto.
4. Escolha uma próxima tarefa. Usar o mesmo exemplo da semana para mostrar este ponto.
5. Defina como acompanhar a mudança. Usar o mesmo exemplo da semana para mostrar este ponto.
6. Checklist completo com os quatro pontos. Fecho: Envie para a equipe.</x:t>
  </x:si>
  <x:si>
    <x:t xml:space="preserve">Quatro pontos para conversar sobre escolha do próximo avanço:
1. Reúna o aprendizado do fluxo atual.
2. Liste as necessidades restantes.
3. Escolha uma próxima tarefa.
4. Defina como acompanhar a mudança.
Use o roteiro no contexto da sua equipe e registre o que ainda depende de confirmação.
Envie para a equipe.
#Arxis #Engenharia #GestaoDeProjetos</x:t>
  </x:si>
  <x:si>
    <x:t xml:space="preserve">Na próxima conversa sobre escolha do próximo avanço, leve este checklist:
Reúna o aprendizado do fluxo atual.
Liste as necessidades restantes.
Escolha uma próxima tarefa.
Defina como acompanhar a mudança.
A última imagem reúne os quatro pontos. Qual será o próximo passo da sua equipe?</x:t>
  </x:si>
  <x:si>
    <x:t xml:space="preserve">Na próxima conversa sobre escolha do próximo avanço, leve este checklist:
Reúna o aprendizado do fluxo atual.
Liste as necessidades restantes.
Escolha uma próxima tarefa.
Defina como acompanhar a mudança.
A última imagem reúne os quatro pontos. Qual será o próximo passo da sua equipe?
#BIM #ConstrucaoDigital #Engenharia #Arxis</x:t>
  </x:si>
  <x:si>
    <x:t xml:space="preserve">Peça única. Título: Qual será o próximo passo da sua equipe?
Apoio: Uma pergunta para quem trabalha com projetos e obras.
Chamada: Responda nos comentários. Rodapé: @arxis.bim.</x:t>
  </x:si>
  <x:si>
    <x:t xml:space="preserve">Qual será o próximo passo da sua equipe?
Ao longo da semana, tratamos de escolha do próximo avanço com um exemplo e um checklist. Agora queremos ouvir como essa situação aparece no seu trabalho.
Responda nos comentários e conte uma dificuldade ou um aprendizado.
#Arxis #Engenharia #GestaoDeProjetos</x:t>
  </x:si>
  <x:si>
    <x:t xml:space="preserve">Qual será o próximo passo da sua equipe?
Depois do exemplo e do checklist desta semana, queremos ouvir sua experiência. Como sua equipe lida com escolha do próximo avanço? Responda nos comentários.</x:t>
  </x:si>
  <x:si>
    <x:t xml:space="preserve">Qual será o próximo passo da sua equipe?
Depois do exemplo e do checklist desta semana, queremos ouvir sua experiência. Como sua equipe lida com escolha do próximo avanço? Responda nos comentários.
#BIM #ConstrucaoDigital #Engenharia #Arxis</x:t>
  </x:si>
  <x:si>
    <x:t xml:space="preserve">O que sua equipe quer entender melhor daqui para frente?</x:t>
  </x:si>
  <x:si>
    <x:t xml:space="preserve">1. Capa: O que sua equipe quer entender melhor daqui para frente?
2. Comece pela pergunta: Ao terminar uma revisão, registre as perguntas que ainda precisam de resposta. Use as informações disponíveis para escolher o próximo ponto de análise.
3. Dê contexto ao exemplo: Uma revisão ilustrativa de projeto que termina com três perguntas ainda abertas.
4. Primeiro ponto a observar: Revise as perguntas trabalhadas.
5. O que precisa ser confirmado: Reúna dúvidas ainda abertas.
6. Fecho: Qual dúvida de projeto você quer aprofundar com a Arxis? Conte sua experiência.</x:t>
  </x:si>
  <x:si>
    <x:t xml:space="preserve">Tipografia em destaque e ícones simples. Alternar com uma peça de fundo marinho na pergunta de sábado. Exemplo desta semana: Uma revisão ilustrativa de projeto que termina com três perguntas ainda abertas.</x:t>
  </x:si>
  <x:si>
    <x:t xml:space="preserve">O que sua equipe quer entender melhor daqui para frente?
Ao terminar uma revisão, registre as perguntas que ainda precisam de resposta. Use as informações disponíveis para escolher o próximo ponto de análise.
Nesta semana, o exemplo será: uma revisão ilustrativa de projeto que termina com três perguntas ainda abertas.
Conte sua experiência. Qual dúvida de projeto você quer aprofundar com a Arxis?
#Arxis #BIM #Arquitetura</x:t>
  </x:si>
  <x:si>
    <x:t xml:space="preserve">O que sua equipe quer entender melhor daqui para frente?
Ao terminar uma revisão, registre as perguntas que ainda precisam de resposta. Use as informações disponíveis para escolher o próximo ponto de análise.
As imagens apresentam um exemplo para discutir com a equipe. Qual dúvida de projeto você quer aprofundar com a Arxis?</x:t>
  </x:si>
  <x:si>
    <x:t xml:space="preserve">O que sua equipe quer entender melhor daqui para frente?
Ao terminar uma revisão, registre as perguntas que ainda precisam de resposta. Use as informações disponíveis para escolher o próximo ponto de análise.
As imagens apresentam um exemplo para discutir com a equipe. Qual dúvida de projeto você quer aprofundar com a Arxis?
#BIM #ConstrucaoDigital #Engenharia #Arxis</x:t>
  </x:si>
  <x:si>
    <x:t xml:space="preserve">Próximas dúvidas de projeto
na prática</x:t>
  </x:si>
  <x:si>
    <x:t xml:space="preserve">0 a 3 s: O que sua equipe quer entender melhor daqui para frente?
3 a 9 s: apresentar o exemplo: Uma revisão ilustrativa de projeto que termina com três perguntas ainda abertas.
9 a 17 s: mostrar o primeiro passo: Revise as perguntas trabalhadas.
17 a 25 s: mostrar o segundo passo: Reúna dúvidas ainda abertas.
25 a 32 s: concluir com a pergunta: Qual dúvida de projeto você quer aprofundar com a Arxis?
32 a 35 s: Envie PROJETO por mensagem.</x:t>
  </x:si>
  <x:si>
    <x:t xml:space="preserve">Uma pergunta de projeto pode orientar o que precisa ser observado.
No vídeo, usamos este exemplo: uma revisão ilustrativa de projeto que termina com três perguntas ainda abertas.
Comece por dois passos:
1. Revise as perguntas trabalhadas.
2. Reúna dúvidas ainda abertas.
Envie PROJETO por mensagem.
#Arxis #BIM #Arquitetura</x:t>
  </x:si>
  <x:si>
    <x:t xml:space="preserve">O que sua equipe quer entender melhor daqui para frente?
O vídeo usa este exemplo: uma revisão ilustrativa de projeto que termina com três perguntas ainda abertas.
Comece por estas ações:
1. Revise as perguntas trabalhadas.
2. Reúna dúvidas ainda abertas.
Envie PROJETO por mensagem à página.</x:t>
  </x:si>
  <x:si>
    <x:t xml:space="preserve">O que sua equipe quer entender melhor daqui para frente?
O vídeo usa este exemplo: uma revisão ilustrativa de projeto que termina com três perguntas ainda abertas.
Comece por estas ações:
1. Revise as perguntas trabalhadas.
2. Reúna dúvidas ainda abertas.
Envie PROJETO por mensagem aqui no LinkedIn.
#BIM #ConstrucaoDigital #Engenharia #Arxis</x:t>
  </x:si>
  <x:si>
    <x:t xml:space="preserve">Próximas dúvidas de projeto
na prática
Uma pergunta de projeto pode orientar o que precisa ser observado.
#BIM #Engenharia #Arquitetura #ConstrucaoDigital #Arxis</x:t>
  </x:si>
  <x:si>
    <x:t xml:space="preserve">Arxis · Stories por dia útil · 360 dias</x:t>
  </x:si>
  <x:si>
    <x:t xml:space="preserve">258 sequências e 774 quadros base. Instagram e Facebook. Brasília: 9h, 13h e 19h. Stories não vão para LinkedIn, TikTok ou YouTube.</x:t>
  </x:si>
  <x:si>
    <x:t xml:space="preserve">Instagram: usar enquete ou resposta quando fizer sentido. Facebook: adaptar a interação à ferramenta disponível. Quadros de 9h e 19h são os slots naturais para bastidor e repost definidos na reunião semanal.</x:t>
  </x:si>
  <x:si>
    <x:t xml:space="preserve">9h · Pergunta ou abertura</x:t>
  </x:si>
  <x:si>
    <x:t xml:space="preserve">13h · Explicação ou exemplo</x:t>
  </x:si>
  <x:si>
    <x:t xml:space="preserve">19h · Ação ou continuação</x:t>
  </x:si>
  <x:si>
    <x:t xml:space="preserve">Quadros</x:t>
  </x:si>
  <x:si>
    <x:t xml:space="preserve">Apresentação</x:t>
  </x:si>
  <x:si>
    <x:t xml:space="preserve">Conheça a Arxis. Visualize. Analise.
Decida.</x:t>
  </x:si>
  <x:si>
    <x:t xml:space="preserve">Por aqui: BIM, projetos e construção digital
em linguagem prática.</x:t>
  </x:si>
  <x:si>
    <x:t xml:space="preserve">Você atua em arquitetura, engenharia ou
obras? Responda e se apresente.</x:t>
  </x:si>
  <x:si>
    <x:t xml:space="preserve">Qual etapa ocupa mais o seu dia:
projeto ou execução?</x:t>
  </x:si>
  <x:si>
    <x:t xml:space="preserve">Nos dois contextos, vale saber de onde vem a
informação usada na decisão.</x:t>
  </x:si>
  <x:si>
    <x:t xml:space="preserve">Conte uma dificuldade da sua rotina para
virar tema por aqui.</x:t>
  </x:si>
  <x:si>
    <x:t xml:space="preserve">BIM sem complicar</x:t>
  </x:si>
  <x:si>
    <x:t xml:space="preserve">Quando você pensa em BIM, qual palavra
vem primeiro?</x:t>
  </x:si>
  <x:si>
    <x:t xml:space="preserve">Exemplo: uma parede pode ter forma,
identificação e material.</x:t>
  </x:si>
  <x:si>
    <x:t xml:space="preserve">O Reel de hoje explica o conceito em 30
segundos. Veja e mande sua dúvida.</x:t>
  </x:si>
  <x:si>
    <x:t xml:space="preserve">Informação do
elemento</x:t>
  </x:si>
  <x:si>
    <x:t xml:space="preserve">Antes de analisar uma porta, o que você
precisa saber?</x:t>
  </x:si>
  <x:si>
    <x:t xml:space="preserve">Exemplo ilustrativo: identificação, dimensões
e contexto de uso.</x:t>
  </x:si>
  <x:si>
    <x:t xml:space="preserve">Qual dado você sente falta ao receber um
modelo? Responda por mensagem.</x:t>
  </x:si>
  <x:si>
    <x:t xml:space="preserve">Checklist de
leitura</x:t>
  </x:si>
  <x:si>
    <x:t xml:space="preserve">Você sabe qual versão do modelo está
analisando?</x:t>
  </x:si>
  <x:si>
    <x:t xml:space="preserve">Confira geometria, identificação, propriedades
e contexto.</x:t>
  </x:si>
  <x:si>
    <x:t xml:space="preserve">O carrossel de hoje reúne essas perguntas.
Salve para a próxima revisão.</x:t>
  </x:si>
  <x:si>
    <x:t xml:space="preserve">Alterações</x:t>
  </x:si>
  <x:si>
    <x:t xml:space="preserve">Chegou uma alteração. O que você
confere primeiro?</x:t>
  </x:si>
  <x:si>
    <x:t xml:space="preserve">Comece pelo que mudou, pelo motivo e pela
versão em análise.</x:t>
  </x:si>
  <x:si>
    <x:t xml:space="preserve">As cinco perguntas estão no carrossel de
hoje. Compartilhe com a equipe.</x:t>
  </x:si>
  <x:si>
    <x:t xml:space="preserve">Bastidor editorial</x:t>
  </x:si>
  <x:si>
    <x:t xml:space="preserve">Estamos preparando um exemplo sobre
leitura de modelos.</x:t>
  </x:si>
  <x:si>
    <x:t xml:space="preserve">O roteiro começa por uma pergunta: qual
detalhe precisa ser analisado?</x:t>
  </x:si>
  <x:si>
    <x:t xml:space="preserve">Você prefere exemplos de arquitetura ou de
instalações? Responda.</x:t>
  </x:si>
  <x:si>
    <x:t xml:space="preserve">Visão geral e
detalhe</x:t>
  </x:si>
  <x:si>
    <x:t xml:space="preserve">Sua dúvida está no conjunto ou em um
elemento?</x:t>
  </x:si>
  <x:si>
    <x:t xml:space="preserve">Localize o detalhe no conjunto e confirme o
contexto da análise.</x:t>
  </x:si>
  <x:si>
    <x:t xml:space="preserve">Veja o exemplo de hoje. Quer conversar sobre
visualização? Envie MODELO.</x:t>
  </x:si>
  <x:si>
    <x:t xml:space="preserve">Preparação de
reunião</x:t>
  </x:si>
  <x:si>
    <x:t xml:space="preserve">Sua próxima reunião já tem uma decisão
definida?</x:t>
  </x:si>
  <x:si>
    <x:t xml:space="preserve">Anote objetivo, versão e dúvidas antes de
começar.</x:t>
  </x:si>
  <x:si>
    <x:t xml:space="preserve">Amanhã tem checklist completo. Qual item você
sempre precisa lembrar?</x:t>
  </x:si>
  <x:si>
    <x:t xml:space="preserve">Reunião de projeto</x:t>
  </x:si>
  <x:si>
    <x:t xml:space="preserve">Antes da reunião: qual pergunta precisa
de resposta?</x:t>
  </x:si>
  <x:si>
    <x:t xml:space="preserve">Depois da reunião: quem faz o quê e até
quando?</x:t>
  </x:si>
  <x:si>
    <x:t xml:space="preserve">Salve o checklist publicado hoje e use na
próxima conversa da equipe.</x:t>
  </x:si>
  <x:si>
    <x:t xml:space="preserve">Alternativas</x:t>
  </x:si>
  <x:si>
    <x:t xml:space="preserve">Duas alternativas na mesa. Como
escolher?</x:t>
  </x:si>
  <x:si>
    <x:t xml:space="preserve">Use os mesmos critérios para analisar as duas
opções.</x:t>
  </x:si>
  <x:si>
    <x:t xml:space="preserve">O carrossel de hoje traz um roteiro. Qual
critério pesa mais para você?</x:t>
  </x:si>
  <x:si>
    <x:t xml:space="preserve">Critérios</x:t>
  </x:si>
  <x:si>
    <x:t xml:space="preserve">O que importa neste exemplo de layout:
acesso, uso ou circulação?</x:t>
  </x:si>
  <x:si>
    <x:t xml:space="preserve">Exemplo ilustrativo: mudar a posição de uma
porta exige analisar o contexto.</x:t>
  </x:si>
  <x:si>
    <x:t xml:space="preserve">Que informação você pediria antes de
escolher? Responda.</x:t>
  </x:si>
  <x:si>
    <x:t xml:space="preserve">Registro de cenário</x:t>
  </x:si>
  <x:si>
    <x:t xml:space="preserve">Como você retoma uma alternativa
discutida ontem?</x:t>
  </x:si>
  <x:si>
    <x:t xml:space="preserve">Registre o nome, o motivo e a referência da
alternativa.</x:t>
  </x:si>
  <x:si>
    <x:t xml:space="preserve">O vídeo de hoje trata desse registro. Envie
CENÁRIO para conversar.</x:t>
  </x:si>
  <x:si>
    <x:t xml:space="preserve">Troca de informação</x:t>
  </x:si>
  <x:si>
    <x:t xml:space="preserve">Seu projeto passa por mais de uma
ferramenta?</x:t>
  </x:si>
  <x:si>
    <x:t xml:space="preserve">Antes da troca, combine quais dados precisam
chegar à próxima pessoa.</x:t>
  </x:si>
  <x:si>
    <x:t xml:space="preserve">Amanhã vamos falar de openBIM. Qual é sua
dúvida sobre o tema?</x:t>
  </x:si>
  <x:si>
    <x:t xml:space="preserve">openBIM</x:t>
  </x:si>
  <x:si>
    <x:t xml:space="preserve">O que precisa ser preservado quando um
modelo é compartilhado?</x:t>
  </x:si>
  <x:si>
    <x:t xml:space="preserve">Padrões abertos fazem parte da conversa sobre
troca de informações.</x:t>
  </x:si>
  <x:si>
    <x:t xml:space="preserve">Veja o carrossel de hoje e envie para quem
recebe modelos com você.</x:t>
  </x:si>
  <x:si>
    <x:t xml:space="preserve">Uma dúvida real</x:t>
  </x:si>
  <x:si>
    <x:t xml:space="preserve">Qual pergunta do projeto você quer
responder melhor?</x:t>
  </x:si>
  <x:si>
    <x:t xml:space="preserve">Escolha uma dúvida pequena e identifique
informação, referência e responsável.</x:t>
  </x:si>
  <x:si>
    <x:t xml:space="preserve">Conte sua área de atuação e a dúvida
principal por mensagem.</x:t>
  </x:si>
  <x:si>
    <x:t xml:space="preserve">Escolha do próximo
tema</x:t>
  </x:si>
  <x:si>
    <x:t xml:space="preserve">O que você quer ver: leitura do modelo
ou organização da revisão?</x:t>
  </x:si>
  <x:si>
    <x:t xml:space="preserve">Uma boa pergunta ajuda a preparar um exemplo
útil.</x:t>
  </x:si>
  <x:si>
    <x:t xml:space="preserve">Envie sua pergunta para os próximos
conteúdos. Vamos selecionar um tema possível
de demonstrar.</x:t>
  </x:si>
  <x:si>
    <x:t xml:space="preserve">Perguntas e
respostas</x:t>
  </x:si>
  <x:si>
    <x:t xml:space="preserve">Por onde começar uma análise de
projeto?</x:t>
  </x:si>
  <x:si>
    <x:t xml:space="preserve">Pela decisão que precisa ser tomada. Depois,
localize a informação que a sustenta.</x:t>
  </x:si>
  <x:si>
    <x:t xml:space="preserve">A resposta completa está no Reel de hoje.
Qual será a próxima pergunta?</x:t>
  </x:si>
  <x:si>
    <x:t xml:space="preserve">Critérios de
escolha</x:t>
  </x:si>
  <x:si>
    <x:t xml:space="preserve">O que uma ferramenta precisa resolver
no seu trabalho?</x:t>
  </x:si>
  <x:si>
    <x:t xml:space="preserve">Descreva a tarefa, os arquivos e quem vai
usar.</x:t>
  </x:si>
  <x:si>
    <x:t xml:space="preserve">Amanhã tem checklist de avaliação. Envie sua
tarefa principal por mensagem.</x:t>
  </x:si>
  <x:si>
    <x:t xml:space="preserve">Convite à conversa</x:t>
  </x:si>
  <x:si>
    <x:t xml:space="preserve">Qual tarefa você quer avaliar em uma
ferramenta BIM?</x:t>
  </x:si>
  <x:si>
    <x:t xml:space="preserve">O carrossel de hoje reúne critérios para
organizar essa conversa.</x:t>
  </x:si>
  <x:si>
    <x:t xml:space="preserve">Envie PROJETO com sua área e seu desafio.
Vamos conversar sobre a Arxis.</x:t>
  </x:si>
  <x:si>
    <x:t xml:space="preserve">Propriedades dos
elementos</x:t>
  </x:si>
  <x:si>
    <x:t xml:space="preserve">Uma propriedade só ajuda quando seu
significado e sua origem estão claros. Escolha
os campos que respondem à pergunta da análise.</x:t>
  </x:si>
  <x:si>
    <x:t xml:space="preserve">O carrossel de hoje trata de propriedades dos
elementos. Qual propriedade você consulta
primeiro?</x:t>
  </x:si>
  <x:si>
    <x:t xml:space="preserve">Como você analisaria este exemplo? Uma
porta ilustrativa com identificação,
material e uma propriedade ainda sem
preenchimento.</x:t>
  </x:si>
  <x:si>
    <x:t xml:space="preserve">Comece por aqui: identifique o elemento.</x:t>
  </x:si>
  <x:si>
    <x:t xml:space="preserve">Qual informação ainda falta para avançar?
Conte por mensagem.</x:t>
  </x:si>
  <x:si>
    <x:t xml:space="preserve">Hoje tem exemplo prático de
propriedades dos elementos.</x:t>
  </x:si>
  <x:si>
    <x:t xml:space="preserve">Dois pontos para observar: identifique o
elemento; leia o nome e o significado do
campo.</x:t>
  </x:si>
  <x:si>
    <x:t xml:space="preserve">Veja o Reel de hoje. Qual propriedade você
consulta primeiro?</x:t>
  </x:si>
  <x:si>
    <x:t xml:space="preserve">Antes de concluir a análise: confira a
origem do valor.</x:t>
  </x:si>
  <x:si>
    <x:t xml:space="preserve">Para definir o próximo passo: liste o que
ainda falta saber.</x:t>
  </x:si>
  <x:si>
    <x:t xml:space="preserve">Qual desses pontos sua equipe já confere?
Responda e conte como faz.</x:t>
  </x:si>
  <x:si>
    <x:t xml:space="preserve">O checklist de propriedades dos
elementos está no feed.</x:t>
  </x:si>
  <x:si>
    <x:t xml:space="preserve">Retome o exemplo da semana e confira os quatro
pontos do carrossel.</x:t>
  </x:si>
  <x:si>
    <x:t xml:space="preserve">Salve para usar depois. Qual propriedade você
consulta primeiro?</x:t>
  </x:si>
  <x:si>
    <x:t xml:space="preserve">Localização no
modelo</x:t>
  </x:si>
  <x:si>
    <x:t xml:space="preserve">Uma referência de pavimento, ambiente e
elemento torna a conversa sobre um detalhe
mais objetiva. Prepare esse contexto antes de
pedir uma revisão.</x:t>
  </x:si>
  <x:si>
    <x:t xml:space="preserve">O carrossel de hoje trata de localização no
modelo. Como você indica um detalhe para a
equipe?</x:t>
  </x:si>
  <x:si>
    <x:t xml:space="preserve">Como você analisaria este exemplo? Um
percurso didático do edifício ao
pavimento e depois a uma sala.</x:t>
  </x:si>
  <x:si>
    <x:t xml:space="preserve">Comece por aqui: confirme o edifício e o
pavimento.</x:t>
  </x:si>
  <x:si>
    <x:t xml:space="preserve">Hoje tem exemplo prático de localização
no modelo.</x:t>
  </x:si>
  <x:si>
    <x:t xml:space="preserve">Dois pontos para observar: confirme o edifício
e o pavimento; localize o ambiente.</x:t>
  </x:si>
  <x:si>
    <x:t xml:space="preserve">Veja o Reel de hoje. Como você indica um
detalhe para a equipe?</x:t>
  </x:si>
  <x:si>
    <x:t xml:space="preserve">Antes de concluir a análise:
identifique o elemento.</x:t>
  </x:si>
  <x:si>
    <x:t xml:space="preserve">Para definir o próximo passo: registre uma
referência que outra pessoa consiga seguir.</x:t>
  </x:si>
  <x:si>
    <x:t xml:space="preserve">O checklist de localização no modelo
está no feed.</x:t>
  </x:si>
  <x:si>
    <x:t xml:space="preserve">Salve para usar depois. Como você indica um
detalhe para a equipe?</x:t>
  </x:si>
  <x:si>
    <x:t xml:space="preserve">Disciplinas e
contexto</x:t>
  </x:si>
  <x:si>
    <x:t xml:space="preserve">Ao discutir uma região do projeto, identifique
quais disciplinas participam daquela decisão e
quem pode confirmar cada informação.</x:t>
  </x:si>
  <x:si>
    <x:t xml:space="preserve">O carrossel de hoje trata de disciplinas e
contexto. Qual interface entre disciplinas
mais gera dúvidas?</x:t>
  </x:si>
  <x:si>
    <x:t xml:space="preserve">Como você analisaria este exemplo? Uma
sala ilustrativa com porta, pilar e
passagem de instalação, usando cores
apenas para distinguir disciplinas.</x:t>
  </x:si>
  <x:si>
    <x:t xml:space="preserve">Comece por aqui: defina a região em análise.</x:t>
  </x:si>
  <x:si>
    <x:t xml:space="preserve">Hoje tem exemplo prático de disciplinas
e contexto.</x:t>
  </x:si>
  <x:si>
    <x:t xml:space="preserve">Dois pontos para observar: defina a região em
análise; liste as disciplinas envolvidas.</x:t>
  </x:si>
  <x:si>
    <x:t xml:space="preserve">Veja o Reel de hoje. Qual interface entre
disciplinas mais gera dúvidas?</x:t>
  </x:si>
  <x:si>
    <x:t xml:space="preserve">Antes de concluir a análise: confirme
as referências de cada uma.</x:t>
  </x:si>
  <x:si>
    <x:t xml:space="preserve">Para definir o próximo passo: encaminhe a
dúvida aos responsáveis.</x:t>
  </x:si>
  <x:si>
    <x:t xml:space="preserve">O checklist de disciplinas e contexto
está no feed.</x:t>
  </x:si>
  <x:si>
    <x:t xml:space="preserve">Salve para usar depois. Qual interface entre
disciplinas mais gera dúvidas?</x:t>
  </x:si>
  <x:si>
    <x:t xml:space="preserve">Referências de
posição</x:t>
  </x:si>
  <x:si>
    <x:t xml:space="preserve">Antes de discutir diferenças espaciais,
combine referências de localização. Um
desencontro de posição precisa ser entendido
antes de qualquer conclusão.</x:t>
  </x:si>
  <x:si>
    <x:t xml:space="preserve">O carrossel de hoje trata de referências de
posição. Como sua equipe combina as
referências de posição?</x:t>
  </x:si>
  <x:si>
    <x:t xml:space="preserve">Como você analisaria este exemplo? Dois
desenhos didáticos da mesma sala usando
origens diferentes.</x:t>
  </x:si>
  <x:si>
    <x:t xml:space="preserve">Comece por aqui: identifique a referência de
origem.</x:t>
  </x:si>
  <x:si>
    <x:t xml:space="preserve">Hoje tem exemplo prático de referências
de posição.</x:t>
  </x:si>
  <x:si>
    <x:t xml:space="preserve">Dois pontos para observar: identifique a
referência de origem; confira orientação e
pavimento.</x:t>
  </x:si>
  <x:si>
    <x:t xml:space="preserve">Veja o Reel de hoje. Como sua equipe combina
as referências de posição?</x:t>
  </x:si>
  <x:si>
    <x:t xml:space="preserve">Antes de concluir a análise: compare um
ponto reconhecível.</x:t>
  </x:si>
  <x:si>
    <x:t xml:space="preserve">Para definir o próximo passo: registre a
referência combinada.</x:t>
  </x:si>
  <x:si>
    <x:t xml:space="preserve">O checklist de referências de posição
está no feed.</x:t>
  </x:si>
  <x:si>
    <x:t xml:space="preserve">Salve para usar depois. Como sua equipe
combina as referências de posição?</x:t>
  </x:si>
  <x:si>
    <x:t xml:space="preserve">Versões em revisão</x:t>
  </x:si>
  <x:si>
    <x:t xml:space="preserve">O registro de uma decisão precisa indicar a
versão consultada. A mesma dúvida pode ter uma
resposta diferente depois de uma atualização.</x:t>
  </x:si>
  <x:si>
    <x:t xml:space="preserve">O carrossel de hoje trata de versões em
revisão. Onde você confere a versão antes de
revisar?</x:t>
  </x:si>
  <x:si>
    <x:t xml:space="preserve">Como você analisaria este exemplo? Duas
imagens ilustrativas de uma porta antes
e depois de uma revisão identificada.</x:t>
  </x:si>
  <x:si>
    <x:t xml:space="preserve">Comece por aqui: identifique a versão
analisada.</x:t>
  </x:si>
  <x:si>
    <x:t xml:space="preserve">Hoje tem exemplo prático de versões em
revisão.</x:t>
  </x:si>
  <x:si>
    <x:t xml:space="preserve">Dois pontos para observar: identifique a
versão analisada; registre a data da
referência.</x:t>
  </x:si>
  <x:si>
    <x:t xml:space="preserve">Veja o Reel de hoje. Onde você confere a
versão antes de revisar?</x:t>
  </x:si>
  <x:si>
    <x:t xml:space="preserve">Antes de concluir a análise: descreva a
mudança relevante.</x:t>
  </x:si>
  <x:si>
    <x:t xml:space="preserve">Para definir o próximo passo: confirme qual
versão está válida para a tarefa.</x:t>
  </x:si>
  <x:si>
    <x:t xml:space="preserve">O checklist de versões em revisão está
no feed.</x:t>
  </x:si>
  <x:si>
    <x:t xml:space="preserve">Salve para usar depois. Onde você confere a
versão antes de revisar?</x:t>
  </x:si>
  <x:si>
    <x:t xml:space="preserve">Descrição de
pendências</x:t>
  </x:si>
  <x:si>
    <x:t xml:space="preserve">A equipe consegue entender sua
pendência?</x:t>
  </x:si>
  <x:si>
    <x:t xml:space="preserve">Uma descrição útil informa onde está o ponto,
o que foi observado e qual resposta é
necessária. Escrever apenas verificar aqui
deixa contexto em aberto.</x:t>
  </x:si>
  <x:si>
    <x:t xml:space="preserve">O carrossel de hoje trata de descrição de
pendências. Qual informação mais falta nas
pendências que você recebe?</x:t>
  </x:si>
  <x:si>
    <x:t xml:space="preserve">Como você analisaria este exemplo? Uma
ficha editorial de pendência sobre uma
abertura, com localização, observação e
pergunta.</x:t>
  </x:si>
  <x:si>
    <x:t xml:space="preserve">Comece por aqui: localize o ponto.</x:t>
  </x:si>
  <x:si>
    <x:t xml:space="preserve">Hoje tem exemplo prático de descrição
de pendências.</x:t>
  </x:si>
  <x:si>
    <x:t xml:space="preserve">Dois pontos para observar: localize o ponto;
descreva o que foi observado.</x:t>
  </x:si>
  <x:si>
    <x:t xml:space="preserve">Veja o Reel de hoje. Qual informação mais
falta nas pendências que você recebe?</x:t>
  </x:si>
  <x:si>
    <x:t xml:space="preserve">Antes de concluir a análise: formule a
pergunta a responder.</x:t>
  </x:si>
  <x:si>
    <x:t xml:space="preserve">Para definir o próximo passo: inclua a
referência usada.</x:t>
  </x:si>
  <x:si>
    <x:t xml:space="preserve">O checklist de descrição de pendências
está no feed.</x:t>
  </x:si>
  <x:si>
    <x:t xml:space="preserve">Salve para usar depois. Qual informação mais
falta nas pendências que você recebe?</x:t>
  </x:si>
  <x:si>
    <x:t xml:space="preserve">Revisão por
prioridade</x:t>
  </x:si>
  <x:si>
    <x:t xml:space="preserve">Uma lista de revisão precisa de critérios de
prioridade. Discuta impacto, dependências e
prazo com quem conduz o projeto antes de
ordenar os itens.</x:t>
  </x:si>
  <x:si>
    <x:t xml:space="preserve">O carrossel de hoje trata de revisão por
prioridade. O que define a prioridade de
revisão na sua equipe?</x:t>
  </x:si>
  <x:si>
    <x:t xml:space="preserve">Como você analisaria este exemplo? Três
pendências fictícias que afetam
decisões em momentos diferentes.</x:t>
  </x:si>
  <x:si>
    <x:t xml:space="preserve">Comece por aqui: identifique a decisão
afetada.</x:t>
  </x:si>
  <x:si>
    <x:t xml:space="preserve">Hoje tem exemplo prático de revisão por
prioridade.</x:t>
  </x:si>
  <x:si>
    <x:t xml:space="preserve">Dois pontos para observar: identifique a
decisão afetada; confira dependências.</x:t>
  </x:si>
  <x:si>
    <x:t xml:space="preserve">Veja o Reel de hoje. O que define a
prioridade de revisão na sua equipe?</x:t>
  </x:si>
  <x:si>
    <x:t xml:space="preserve">Antes de concluir a análise: combine o
prazo de resposta.</x:t>
  </x:si>
  <x:si>
    <x:t xml:space="preserve">Para definir o próximo passo: defina a ordem
com os responsáveis.</x:t>
  </x:si>
  <x:si>
    <x:t xml:space="preserve">O checklist de revisão por prioridade
está no feed.</x:t>
  </x:si>
  <x:si>
    <x:t xml:space="preserve">Salve para usar depois. O que define a
prioridade de revisão na sua equipe?</x:t>
  </x:si>
  <x:si>
    <x:t xml:space="preserve">Fechamento de
pendências</x:t>
  </x:si>
  <x:si>
    <x:t xml:space="preserve">Encerrar uma pendência exige conferir se a
resposta atende à pergunta inicial. Registre a
referência da solução e quem confirmou o
fechamento.</x:t>
  </x:si>
  <x:si>
    <x:t xml:space="preserve">O carrossel de hoje trata de fechamento de
pendências. Como vocês confirmam que uma
pendência foi resolvida?</x:t>
  </x:si>
  <x:si>
    <x:t xml:space="preserve">Como você analisaria este exemplo? Uma
pendência ilustrativa com pergunta,
resposta e uma referência de revisão.</x:t>
  </x:si>
  <x:si>
    <x:t xml:space="preserve">Comece por aqui: retome a pergunta inicial.</x:t>
  </x:si>
  <x:si>
    <x:t xml:space="preserve">Hoje tem exemplo prático de fechamento
de pendências.</x:t>
  </x:si>
  <x:si>
    <x:t xml:space="preserve">Dois pontos para observar: retome a pergunta
inicial; confira a resposta recebida.</x:t>
  </x:si>
  <x:si>
    <x:t xml:space="preserve">Veja o Reel de hoje. Como vocês confirmam que
uma pendência foi resolvida?</x:t>
  </x:si>
  <x:si>
    <x:t xml:space="preserve">Antes de concluir a análise: registre a
referência da solução.</x:t>
  </x:si>
  <x:si>
    <x:t xml:space="preserve">Para definir o próximo passo: confirme o
fechamento com o responsável.</x:t>
  </x:si>
  <x:si>
    <x:t xml:space="preserve">O checklist de fechamento de pendências
está no feed.</x:t>
  </x:si>
  <x:si>
    <x:t xml:space="preserve">Salve para usar depois. Como vocês confirmam
que uma pendência foi resolvida?</x:t>
  </x:si>
  <x:si>
    <x:t xml:space="preserve">Nomes de arquivos</x:t>
  </x:si>
  <x:si>
    <x:t xml:space="preserve">Uma convenção de nomes funciona quando a
equipe entende os campos e usa o mesmo acordo.
Comece pelo que precisa ser identificado na
rotina.</x:t>
  </x:si>
  <x:si>
    <x:t xml:space="preserve">O carrossel de hoje trata de nomes de
arquivos. Qual informação não pode faltar no
nome de um arquivo?</x:t>
  </x:si>
  <x:si>
    <x:t xml:space="preserve">Como você analisaria este exemplo?
Nomes fictícios de dois arquivos com
projeto, disciplina e revisão
apresentados em blocos de cor.</x:t>
  </x:si>
  <x:si>
    <x:t xml:space="preserve">Comece por aqui: defina os campos necessários.</x:t>
  </x:si>
  <x:si>
    <x:t xml:space="preserve">Hoje tem exemplo prático de nomes de
arquivos.</x:t>
  </x:si>
  <x:si>
    <x:t xml:space="preserve">Dois pontos para observar: defina os campos
necessários; combine a ordem dos campos.</x:t>
  </x:si>
  <x:si>
    <x:t xml:space="preserve">Veja o Reel de hoje. Qual informação não pode
faltar no nome de um arquivo?</x:t>
  </x:si>
  <x:si>
    <x:t xml:space="preserve">Antes de concluir a análise: documente
um exemplo.</x:t>
  </x:si>
  <x:si>
    <x:t xml:space="preserve">Para definir o próximo passo: confira os nomes
antes de enviar.</x:t>
  </x:si>
  <x:si>
    <x:t xml:space="preserve">O checklist de nomes de arquivos está
no feed.</x:t>
  </x:si>
  <x:si>
    <x:t xml:space="preserve">Salve para usar depois. Qual informação não
pode faltar no nome de um arquivo?</x:t>
  </x:si>
  <x:si>
    <x:t xml:space="preserve">Registro de
decisões</x:t>
  </x:si>
  <x:si>
    <x:t xml:space="preserve">A decisão ficou documentada com
contexto?</x:t>
  </x:si>
  <x:si>
    <x:t xml:space="preserve">Anotar uma conclusão junto do motivo, da
referência e do responsável ajuda a retomá-la
depois. Registre também as condições que podem
exigir nova avaliação.</x:t>
  </x:si>
  <x:si>
    <x:t xml:space="preserve">O carrossel de hoje trata de registro de
decisões. O que você registra além da
conclusão de uma reunião?</x:t>
  </x:si>
  <x:si>
    <x:t xml:space="preserve">Como você analisaria este exemplo? Um
registro didático de escolha de layout,
com motivo e condição ainda pendente.</x:t>
  </x:si>
  <x:si>
    <x:t xml:space="preserve">Comece por aqui: descreva a decisão.</x:t>
  </x:si>
  <x:si>
    <x:t xml:space="preserve">Hoje tem exemplo prático de registro de
decisões.</x:t>
  </x:si>
  <x:si>
    <x:t xml:space="preserve">Dois pontos para observar: descreva a decisão;
registre o motivo.</x:t>
  </x:si>
  <x:si>
    <x:t xml:space="preserve">Veja o Reel de hoje. O que você registra além
da conclusão de uma reunião?</x:t>
  </x:si>
  <x:si>
    <x:t xml:space="preserve">Antes de concluir a análise: vincule a
referência analisada.</x:t>
  </x:si>
  <x:si>
    <x:t xml:space="preserve">Para definir o próximo passo: anote
responsáveis e condições.</x:t>
  </x:si>
  <x:si>
    <x:t xml:space="preserve">O checklist de registro de decisões
está no feed.</x:t>
  </x:si>
  <x:si>
    <x:t xml:space="preserve">Salve para usar depois. O que você registra
além da conclusão de uma reunião?</x:t>
  </x:si>
  <x:si>
    <x:t xml:space="preserve">Responsabilidades
na revisão</x:t>
  </x:si>
  <x:si>
    <x:t xml:space="preserve">Esses papéis podem ser diferentes. Explicitar
a participação de cada pessoa evita que uma
pergunta fique sem um próximo passo definido.</x:t>
  </x:si>
  <x:si>
    <x:t xml:space="preserve">O carrossel de hoje trata de
responsabilidades na revisão. Sua equipe
distingue quem responde de quem decide?</x:t>
  </x:si>
  <x:si>
    <x:t xml:space="preserve">Como você analisaria este exemplo? Uma
situação fictícia em que uma dúvida
passa por projetista, coordenador e
contratante.</x:t>
  </x:si>
  <x:si>
    <x:t xml:space="preserve">Comece por aqui: liste as pessoas envolvidas.</x:t>
  </x:si>
  <x:si>
    <x:t xml:space="preserve">Hoje tem exemplo prático de
responsabilidades na revisão.</x:t>
  </x:si>
  <x:si>
    <x:t xml:space="preserve">Dois pontos para observar: liste as pessoas
envolvidas; defina quem responde.</x:t>
  </x:si>
  <x:si>
    <x:t xml:space="preserve">Veja o Reel de hoje. Sua equipe distingue
quem responde de quem decide?</x:t>
  </x:si>
  <x:si>
    <x:t xml:space="preserve">Antes de concluir a análise: confirme
quem decide.</x:t>
  </x:si>
  <x:si>
    <x:t xml:space="preserve">Para definir o próximo passo: combine o
próximo encaminhamento.</x:t>
  </x:si>
  <x:si>
    <x:t xml:space="preserve">O checklist de responsabilidades na
revisão está no feed.</x:t>
  </x:si>
  <x:si>
    <x:t xml:space="preserve">Salve para usar depois. Sua equipe distingue
quem responde de quem decide?</x:t>
  </x:si>
  <x:si>
    <x:t xml:space="preserve">Pacote de entrega</x:t>
  </x:si>
  <x:si>
    <x:t xml:space="preserve">Uma entrega deve dizer o que contém, para qual
uso foi preparada e quais pontos permanecem
abertos. A lista de arquivos é apenas uma
parte desse contexto.</x:t>
  </x:si>
  <x:si>
    <x:t xml:space="preserve">O carrossel de hoje trata de pacote de
entrega. O que acompanha os arquivos nas suas
entregas?</x:t>
  </x:si>
  <x:si>
    <x:t xml:space="preserve">Como você analisaria este exemplo? Uma
lista ilustrativa de entrega com
modelo, documento de referência e
observações.</x:t>
  </x:si>
  <x:si>
    <x:t xml:space="preserve">Comece por aqui: liste os itens entregues.</x:t>
  </x:si>
  <x:si>
    <x:t xml:space="preserve">Hoje tem exemplo prático de pacote de
entrega.</x:t>
  </x:si>
  <x:si>
    <x:t xml:space="preserve">Dois pontos para observar: liste os itens
entregues; descreva a finalidade.</x:t>
  </x:si>
  <x:si>
    <x:t xml:space="preserve">Veja o Reel de hoje. O que acompanha os
arquivos nas suas entregas?</x:t>
  </x:si>
  <x:si>
    <x:t xml:space="preserve">Antes de concluir a análise: informe as
versões.</x:t>
  </x:si>
  <x:si>
    <x:t xml:space="preserve">Para definir o próximo passo: registre
pendências e destinatários.</x:t>
  </x:si>
  <x:si>
    <x:t xml:space="preserve">O checklist de pacote de entrega está
no feed.</x:t>
  </x:si>
  <x:si>
    <x:t xml:space="preserve">Salve para usar depois. O que acompanha os
arquivos nas suas entregas?</x:t>
  </x:si>
  <x:si>
    <x:t xml:space="preserve">Critérios de
alternativas</x:t>
  </x:si>
  <x:si>
    <x:t xml:space="preserve">Defina critérios antes de discutir
preferências. Os mesmos critérios devem ser
aplicados a todas as opções consideradas para
aquela decisão.</x:t>
  </x:si>
  <x:si>
    <x:t xml:space="preserve">O carrossel de hoje trata de critérios de
alternativas. Qual critério costuma decidir
entre duas alternativas?</x:t>
  </x:si>
  <x:si>
    <x:t xml:space="preserve">Como você analisaria este exemplo? Duas
opções ilustrativas de organização de
uma sala, avaliadas por uso e
circulação.</x:t>
  </x:si>
  <x:si>
    <x:t xml:space="preserve">Comece por aqui: defina a decisão.</x:t>
  </x:si>
  <x:si>
    <x:t xml:space="preserve">Hoje tem exemplo prático de critérios
de alternativas.</x:t>
  </x:si>
  <x:si>
    <x:t xml:space="preserve">Dois pontos para observar: defina a decisão;
escolha critérios pertinentes.</x:t>
  </x:si>
  <x:si>
    <x:t xml:space="preserve">Veja o Reel de hoje. Qual critério costuma
decidir entre duas alternativas?</x:t>
  </x:si>
  <x:si>
    <x:t xml:space="preserve">Antes de concluir a análise: use as
mesmas perguntas nas opções.</x:t>
  </x:si>
  <x:si>
    <x:t xml:space="preserve">Para definir o próximo passo: registre o
motivo da preferência.</x:t>
  </x:si>
  <x:si>
    <x:t xml:space="preserve">O checklist de critérios de
alternativas está no feed.</x:t>
  </x:si>
  <x:si>
    <x:t xml:space="preserve">Salve para usar depois. Qual critério costuma
decidir entre duas alternativas?</x:t>
  </x:si>
  <x:si>
    <x:t xml:space="preserve">Restrições de
projeto</x:t>
  </x:si>
  <x:si>
    <x:t xml:space="preserve">Uma restrição combinada precisa aparecer na
análise da opção. Registre de onde ela veio e
quem pode confirmar se continua válida.</x:t>
  </x:si>
  <x:si>
    <x:t xml:space="preserve">O carrossel de hoje trata de restrições de
projeto. Qual restrição costuma aparecer
tarde na discussão?</x:t>
  </x:si>
  <x:si>
    <x:t xml:space="preserve">Como você analisaria este exemplo? Um
layout didático que precisa manter uma
área de acesso livre.</x:t>
  </x:si>
  <x:si>
    <x:t xml:space="preserve">Comece por aqui: liste as condições
informadas.</x:t>
  </x:si>
  <x:si>
    <x:t xml:space="preserve">Hoje tem exemplo prático de restrições
de projeto.</x:t>
  </x:si>
  <x:si>
    <x:t xml:space="preserve">Dois pontos para observar: liste as condições
informadas; confirme a origem de cada
condição.</x:t>
  </x:si>
  <x:si>
    <x:t xml:space="preserve">Veja o Reel de hoje. Qual restrição costuma
aparecer tarde na discussão?</x:t>
  </x:si>
  <x:si>
    <x:t xml:space="preserve">Antes de concluir a análise: verifique
quais opções são afetadas.</x:t>
  </x:si>
  <x:si>
    <x:t xml:space="preserve">Para definir o próximo passo: registre o que
exige avaliação técnica.</x:t>
  </x:si>
  <x:si>
    <x:t xml:space="preserve">O checklist de restrições de projeto
está no feed.</x:t>
  </x:si>
  <x:si>
    <x:t xml:space="preserve">Salve para usar depois. Qual restrição
costuma aparecer tarde na discussão?</x:t>
  </x:si>
  <x:si>
    <x:t xml:space="preserve">Uso dos espaços</x:t>
  </x:si>
  <x:si>
    <x:t xml:space="preserve">Descreva as atividades esperadas antes de
discutir a organização de um ambiente.
Cenários de uso ajudam a formular perguntas
para quem conhece a operação.</x:t>
  </x:si>
  <x:si>
    <x:t xml:space="preserve">O carrossel de hoje trata de uso dos espaços.
Quem participa da conversa sobre o uso do
ambiente?</x:t>
  </x:si>
  <x:si>
    <x:t xml:space="preserve">Como você analisaria este exemplo? Duas
disposições ilustrativas de mobiliário
para a rotina de uma pequena equipe.</x:t>
  </x:si>
  <x:si>
    <x:t xml:space="preserve">Comece por aqui: descreva as atividades.</x:t>
  </x:si>
  <x:si>
    <x:t xml:space="preserve">Hoje tem exemplo prático de uso dos
espaços.</x:t>
  </x:si>
  <x:si>
    <x:t xml:space="preserve">Dois pontos para observar: descreva as
atividades; identifique os usuários.</x:t>
  </x:si>
  <x:si>
    <x:t xml:space="preserve">Veja o Reel de hoje. Quem participa da
conversa sobre o uso do ambiente?</x:t>
  </x:si>
  <x:si>
    <x:t xml:space="preserve">Antes de concluir a análise: anote os
percursos esperados.</x:t>
  </x:si>
  <x:si>
    <x:t xml:space="preserve">Para definir o próximo passo: leve dúvidas a
quem usa o espaço.</x:t>
  </x:si>
  <x:si>
    <x:t xml:space="preserve">O checklist de uso dos espaços está no
feed.</x:t>
  </x:si>
  <x:si>
    <x:t xml:space="preserve">Salve para usar depois. Quem participa da
conversa sobre o uso do ambiente?</x:t>
  </x:si>
  <x:si>
    <x:t xml:space="preserve">Premissas das
alternativas</x:t>
  </x:si>
  <x:si>
    <x:t xml:space="preserve">Uma hipótese deve permanecer visível enquanto
não foi confirmada. Separar premissa de
informação verificada ajuda a entender os
limites de uma escolha.</x:t>
  </x:si>
  <x:si>
    <x:t xml:space="preserve">O carrossel de hoje trata de premissas das
alternativas. Qual premissa você gostaria de
ter registrado antes?</x:t>
  </x:si>
  <x:si>
    <x:t xml:space="preserve">Como você analisaria este exemplo? Uma
alternativa fictícia de layout que
depende da confirmação de um requisito
pelo contratante.</x:t>
  </x:si>
  <x:si>
    <x:t xml:space="preserve">Comece por aqui: liste as premissas.</x:t>
  </x:si>
  <x:si>
    <x:t xml:space="preserve">Hoje tem exemplo prático de premissas
das alternativas.</x:t>
  </x:si>
  <x:si>
    <x:t xml:space="preserve">Dois pontos para observar: liste as premissas;
separe o que já foi confirmado.</x:t>
  </x:si>
  <x:si>
    <x:t xml:space="preserve">Veja o Reel de hoje. Qual premissa você
gostaria de ter registrado antes?</x:t>
  </x:si>
  <x:si>
    <x:t xml:space="preserve">Antes de concluir a análise: indique
quem pode validar.</x:t>
  </x:si>
  <x:si>
    <x:t xml:space="preserve">Para definir o próximo passo: registre quando
a opção deve ser revista.</x:t>
  </x:si>
  <x:si>
    <x:t xml:space="preserve">O checklist de premissas das
alternativas está no feed.</x:t>
  </x:si>
  <x:si>
    <x:t xml:space="preserve">Salve para usar depois. Qual premissa você
gostaria de ter registrado antes?</x:t>
  </x:si>
  <x:si>
    <x:t xml:space="preserve">Requisitos de
informação</x:t>
  </x:si>
  <x:si>
    <x:t xml:space="preserve">Qual informação a entrega precisa
conter?</x:t>
  </x:si>
  <x:si>
    <x:t xml:space="preserve">Os requisitos devem partir do uso previsto
para a informação. Defina quais dados serão
consultados e como a equipe vai conferir a
entrega.</x:t>
  </x:si>
  <x:si>
    <x:t xml:space="preserve">O carrossel de hoje trata de requisitos de
informação. Quem define os dados necessários
no seu projeto?</x:t>
  </x:si>
  <x:si>
    <x:t xml:space="preserve">Como você analisaria este exemplo? Uma
ficha ilustrativa com os campos que um
responsável quer consultar sobre um
equipamento.</x:t>
  </x:si>
  <x:si>
    <x:t xml:space="preserve">Comece por aqui: descreva o uso previsto.</x:t>
  </x:si>
  <x:si>
    <x:t xml:space="preserve">Hoje tem exemplo prático de requisitos
de informação.</x:t>
  </x:si>
  <x:si>
    <x:t xml:space="preserve">Dois pontos para observar: descreva o uso
previsto; liste os dados necessários.</x:t>
  </x:si>
  <x:si>
    <x:t xml:space="preserve">Veja o Reel de hoje. Quem define os dados
necessários no seu projeto?</x:t>
  </x:si>
  <x:si>
    <x:t xml:space="preserve">Antes de concluir a análise: combine
quem preenche.</x:t>
  </x:si>
  <x:si>
    <x:t xml:space="preserve">Para definir o próximo passo: defina como
conferir a entrega.</x:t>
  </x:si>
  <x:si>
    <x:t xml:space="preserve">O checklist de requisitos de informação
está no feed.</x:t>
  </x:si>
  <x:si>
    <x:t xml:space="preserve">Salve para usar depois. Quem define os dados
necessários no seu projeto?</x:t>
  </x:si>
  <x:si>
    <x:t xml:space="preserve">Campos sem
preenchimento</x:t>
  </x:si>
  <x:si>
    <x:t xml:space="preserve">Um campo sem informação precisa ser
identificado como pendente ou não aplicável
conforme o acordo do projeto. Preencher zero
sem contexto pode mudar a interpretação.</x:t>
  </x:si>
  <x:si>
    <x:t xml:space="preserve">O carrossel de hoje trata de campos sem
preenchimento. Como vocês tratam um dado
ainda não informado?</x:t>
  </x:si>
  <x:si>
    <x:t xml:space="preserve">Como você analisaria este exemplo? Duas
fichas didáticas de elementos: uma com
campo vazio e outra com zero informado.</x:t>
  </x:si>
  <x:si>
    <x:t xml:space="preserve">Comece por aqui: identifique o campo vazio.</x:t>
  </x:si>
  <x:si>
    <x:t xml:space="preserve">Hoje tem exemplo prático de campos sem
preenchimento.</x:t>
  </x:si>
  <x:si>
    <x:t xml:space="preserve">Dois pontos para observar: identifique o campo
vazio; confira a regra de preenchimento.</x:t>
  </x:si>
  <x:si>
    <x:t xml:space="preserve">Veja o Reel de hoje. Como vocês tratam um
dado ainda não informado?</x:t>
  </x:si>
  <x:si>
    <x:t xml:space="preserve">Antes de concluir a análise: diferencie
ausência de zero.</x:t>
  </x:si>
  <x:si>
    <x:t xml:space="preserve">Para definir o próximo passo: encaminhe a
pendência ao responsável.</x:t>
  </x:si>
  <x:si>
    <x:t xml:space="preserve">O checklist de campos sem preenchimento
está no feed.</x:t>
  </x:si>
  <x:si>
    <x:t xml:space="preserve">Salve para usar depois. Como vocês tratam um
dado ainda não informado?</x:t>
  </x:si>
  <x:si>
    <x:t xml:space="preserve">Unidades e
significado</x:t>
  </x:si>
  <x:si>
    <x:t xml:space="preserve">Este número representa exatamente o
quê?</x:t>
  </x:si>
  <x:si>
    <x:t xml:space="preserve">Um valor deve ser lido com sua grandeza e
unidade. Antes de reutilizá-lo, confirme o
campo de origem e o contexto em que foi
produzido.</x:t>
  </x:si>
  <x:si>
    <x:t xml:space="preserve">O carrossel de hoje trata de unidades e
significado. Qual confusão de unidade você já
precisou esclarecer?</x:t>
  </x:si>
  <x:si>
    <x:t xml:space="preserve">Como você analisaria este exemplo? Uma
ficha ilustrativa com medidas exibidas
em unidades diferentes.</x:t>
  </x:si>
  <x:si>
    <x:t xml:space="preserve">Comece por aqui: identifique a grandeza.</x:t>
  </x:si>
  <x:si>
    <x:t xml:space="preserve">Hoje tem exemplo prático de unidades e
significado.</x:t>
  </x:si>
  <x:si>
    <x:t xml:space="preserve">Dois pontos para observar: identifique a
grandeza; confira a unidade.</x:t>
  </x:si>
  <x:si>
    <x:t xml:space="preserve">Veja o Reel de hoje. Qual confusão de unidade
você já precisou esclarecer?</x:t>
  </x:si>
  <x:si>
    <x:t xml:space="preserve">Antes de concluir a análise: confirme a
origem do valor.</x:t>
  </x:si>
  <x:si>
    <x:t xml:space="preserve">Para definir o próximo passo: documente a
convenção usada.</x:t>
  </x:si>
  <x:si>
    <x:t xml:space="preserve">O checklist de unidades e significado
está no feed.</x:t>
  </x:si>
  <x:si>
    <x:t xml:space="preserve">Salve para usar depois. Qual confusão de
unidade você já precisou esclarecer?</x:t>
  </x:si>
  <x:si>
    <x:t xml:space="preserve">Classificação dos
elementos</x:t>
  </x:si>
  <x:si>
    <x:t xml:space="preserve">Combinar termos e categorias facilita a
conversa sobre os dados. A escolha deve seguir
o uso do projeto e o sistema de classificação
adotado pela equipe.</x:t>
  </x:si>
  <x:si>
    <x:t xml:space="preserve">O carrossel de hoje trata de classificação
dos elementos. Qual termo costuma ter
interpretações diferentes?</x:t>
  </x:si>
  <x:si>
    <x:t xml:space="preserve">Como você analisaria este exemplo? Três
registros fictícios do mesmo tipo de
elemento com nomes diferentes.</x:t>
  </x:si>
  <x:si>
    <x:t xml:space="preserve">Comece por aqui: identifique os termos usados.</x:t>
  </x:si>
  <x:si>
    <x:t xml:space="preserve">Hoje tem exemplo prático de
classificação dos elementos.</x:t>
  </x:si>
  <x:si>
    <x:t xml:space="preserve">Dois pontos para observar: identifique os
termos usados; escolha a referência de
classificação.</x:t>
  </x:si>
  <x:si>
    <x:t xml:space="preserve">Veja o Reel de hoje. Qual termo costuma ter
interpretações diferentes?</x:t>
  </x:si>
  <x:si>
    <x:t xml:space="preserve">Antes de concluir a análise: documente
o significado.</x:t>
  </x:si>
  <x:si>
    <x:t xml:space="preserve">Para definir o próximo passo: confira exemplos
com a equipe.</x:t>
  </x:si>
  <x:si>
    <x:t xml:space="preserve">O checklist de classificação dos
elementos está no feed.</x:t>
  </x:si>
  <x:si>
    <x:t xml:space="preserve">Salve para usar depois. Qual termo costuma
ter interpretações diferentes?</x:t>
  </x:si>
  <x:si>
    <x:t xml:space="preserve">Troca de modelos
IFC</x:t>
  </x:si>
  <x:si>
    <x:t xml:space="preserve">Industry Foundation Classes é um padrão aberto
para descrever informações da construção. Uma
troca deve considerar o que o fluxo exige e o
que as ferramentas envolvidas conseguem
receber.</x:t>
  </x:si>
  <x:si>
    <x:t xml:space="preserve">O carrossel de hoje trata de troca de modelos
IFC. O que você confere primeiro depois de
receber um IFC?</x:t>
  </x:si>
  <x:si>
    <x:t xml:space="preserve">Como você analisaria este exemplo? Uma
lista didática de itens esperados em
uma troca de modelo.</x:t>
  </x:si>
  <x:si>
    <x:t xml:space="preserve">Comece por aqui: combine a finalidade da
troca.</x:t>
  </x:si>
  <x:si>
    <x:t xml:space="preserve">Hoje tem exemplo prático de troca de
modelos IFC.</x:t>
  </x:si>
  <x:si>
    <x:t xml:space="preserve">Dois pontos para observar: combine a
finalidade da troca; confirme a implementação
usada no fluxo.</x:t>
  </x:si>
  <x:si>
    <x:t xml:space="preserve">Veja o Reel de hoje. O que você confere
primeiro depois de receber um IFC?</x:t>
  </x:si>
  <x:si>
    <x:t xml:space="preserve">Antes de concluir a análise: liste os
dados esperados.</x:t>
  </x:si>
  <x:si>
    <x:t xml:space="preserve">Para definir o próximo passo: confira o
arquivo recebido.</x:t>
  </x:si>
  <x:si>
    <x:t xml:space="preserve">O checklist de troca de modelos IFC
está no feed.</x:t>
  </x:si>
  <x:si>
    <x:t xml:space="preserve">Salve para usar depois. O que você confere
primeiro depois de receber um IFC?</x:t>
  </x:si>
  <x:si>
    <x:t xml:space="preserve">Comunicação com BCF</x:t>
  </x:si>
  <x:si>
    <x:t xml:space="preserve">BIM Collaboration Format é um padrão openBIM
voltado à comunicação de assuntos e pendências
relacionados ao modelo. O tema central é
transportar a pergunta com referências úteis.</x:t>
  </x:si>
  <x:si>
    <x:t xml:space="preserve">O carrossel de hoje trata de comunicação com
BCF. Como você mantém a pergunta ligada ao
contexto do modelo?</x:t>
  </x:si>
  <x:si>
    <x:t xml:space="preserve">Como você analisaria este exemplo? Uma
ficha didática com assunto, localização
e comentário sobre um elemento.</x:t>
  </x:si>
  <x:si>
    <x:t xml:space="preserve">Comece por aqui: descreva o assunto.</x:t>
  </x:si>
  <x:si>
    <x:t xml:space="preserve">Hoje tem exemplo prático de comunicação
com BCF.</x:t>
  </x:si>
  <x:si>
    <x:t xml:space="preserve">Dois pontos para observar: descreva o assunto;
inclua a localização pertinente.</x:t>
  </x:si>
  <x:si>
    <x:t xml:space="preserve">Veja o Reel de hoje. Como você mantém a
pergunta ligada ao contexto do modelo?</x:t>
  </x:si>
  <x:si>
    <x:t xml:space="preserve">Antes de concluir a análise: formule o
comentário ou pergunta.</x:t>
  </x:si>
  <x:si>
    <x:t xml:space="preserve">Para definir o próximo passo: combine
responsáveis e acompanhamento.</x:t>
  </x:si>
  <x:si>
    <x:t xml:space="preserve">O checklist de comunicação com BCF está
no feed.</x:t>
  </x:si>
  <x:si>
    <x:t xml:space="preserve">Salve para usar depois. Como você mantém a
pergunta ligada ao contexto do modelo?</x:t>
  </x:si>
  <x:si>
    <x:t xml:space="preserve">Acordo de troca</x:t>
  </x:si>
  <x:si>
    <x:t xml:space="preserve">O que combinar antes de enviar um
modelo?</x:t>
  </x:si>
  <x:si>
    <x:t xml:space="preserve">Defina o uso da entrega e as informações
esperadas antes de exportar. Quem envia e quem
recebe precisam compartilhar o mesmo
entendimento do pedido.</x:t>
  </x:si>
  <x:si>
    <x:t xml:space="preserve">O carrossel de hoje trata de acordo de troca.
Qual acordo evitaria uma nova rodada de
envio?</x:t>
  </x:si>
  <x:si>
    <x:t xml:space="preserve">Como você analisaria este exemplo? Uma
conversa ilustrativa entre remetente e
destinatário que vira uma lista de
requisitos.</x:t>
  </x:si>
  <x:si>
    <x:t xml:space="preserve">Comece por aqui: defina quem vai receber.</x:t>
  </x:si>
  <x:si>
    <x:t xml:space="preserve">Hoje tem exemplo prático de acordo de
troca.</x:t>
  </x:si>
  <x:si>
    <x:t xml:space="preserve">Dois pontos para observar: defina quem vai
receber; descreva o uso do arquivo.</x:t>
  </x:si>
  <x:si>
    <x:t xml:space="preserve">Veja o Reel de hoje. Qual acordo evitaria uma
nova rodada de envio?</x:t>
  </x:si>
  <x:si>
    <x:t xml:space="preserve">Antes de concluir a análise: combine
informações e referências.</x:t>
  </x:si>
  <x:si>
    <x:t xml:space="preserve">Para definir o próximo passo: defina como
comunicar divergências.</x:t>
  </x:si>
  <x:si>
    <x:t xml:space="preserve">O checklist de acordo de troca está no
feed.</x:t>
  </x:si>
  <x:si>
    <x:t xml:space="preserve">Salve para usar depois. Qual acordo evitaria
uma nova rodada de envio?</x:t>
  </x:si>
  <x:si>
    <x:t xml:space="preserve">Conferência do
recebido</x:t>
  </x:si>
  <x:si>
    <x:t xml:space="preserve">O arquivo abriu. A entrega está
completa?</x:t>
  </x:si>
  <x:si>
    <x:t xml:space="preserve">Abrir o arquivo é o começo da conferência. Use
o acordo de entrega para verificar se os dados
e as referências necessários estão presentes.</x:t>
  </x:si>
  <x:si>
    <x:t xml:space="preserve">O carrossel de hoje trata de conferência do
recebido. Qual conferência você faz além de
abrir o arquivo?</x:t>
  </x:si>
  <x:si>
    <x:t xml:space="preserve">Como você analisaria este exemplo? Uma
lista fictícia de cinco itens
esperados, com um item ainda pendente
de confirmação.</x:t>
  </x:si>
  <x:si>
    <x:t xml:space="preserve">Comece por aqui: retome o acordo de entrega.</x:t>
  </x:si>
  <x:si>
    <x:t xml:space="preserve">Hoje tem exemplo prático de conferência
do recebido.</x:t>
  </x:si>
  <x:si>
    <x:t xml:space="preserve">Dois pontos para observar: retome o acordo de
entrega; confira os itens esperados.</x:t>
  </x:si>
  <x:si>
    <x:t xml:space="preserve">Veja o Reel de hoje. Qual conferência você
faz além de abrir o arquivo?</x:t>
  </x:si>
  <x:si>
    <x:t xml:space="preserve">Antes de concluir a análise: registre
divergências encontradas.</x:t>
  </x:si>
  <x:si>
    <x:t xml:space="preserve">Para definir o próximo passo: combine a
resposta às pendências.</x:t>
  </x:si>
  <x:si>
    <x:t xml:space="preserve">O checklist de conferência do recebido
está no feed.</x:t>
  </x:si>
  <x:si>
    <x:t xml:space="preserve">Salve para usar depois. Qual conferência você
faz além de abrir o arquivo?</x:t>
  </x:si>
  <x:si>
    <x:t xml:space="preserve">Sequência de
execução</x:t>
  </x:si>
  <x:si>
    <x:t xml:space="preserve">Representar uma sequência pode ajudar a
discutir dependências. Para usar essa conversa
na obra, confirme o plano e as condições com
os responsáveis técnicos.</x:t>
  </x:si>
  <x:si>
    <x:t xml:space="preserve">O carrossel de hoje trata de sequência de
execução. Qual dependência costuma passar
despercebida?</x:t>
  </x:si>
  <x:si>
    <x:t xml:space="preserve">Como você analisaria este exemplo? Três
cartões ilustrativos de etapas de uma
atividade.</x:t>
  </x:si>
  <x:si>
    <x:t xml:space="preserve">Comece por aqui: descreva as etapas
envolvidas.</x:t>
  </x:si>
  <x:si>
    <x:t xml:space="preserve">Hoje tem exemplo prático de sequência
de execução.</x:t>
  </x:si>
  <x:si>
    <x:t xml:space="preserve">Dois pontos para observar: descreva as etapas
envolvidas; identifique dependências.</x:t>
  </x:si>
  <x:si>
    <x:t xml:space="preserve">Veja o Reel de hoje. Qual dependência costuma
passar despercebida?</x:t>
  </x:si>
  <x:si>
    <x:t xml:space="preserve">Antes de concluir a análise: liste
decisões ainda necessárias.</x:t>
  </x:si>
  <x:si>
    <x:t xml:space="preserve">Para definir o próximo passo: confirme o plano
com os responsáveis.</x:t>
  </x:si>
  <x:si>
    <x:t xml:space="preserve">O checklist de sequência de execução
está no feed.</x:t>
  </x:si>
  <x:si>
    <x:t xml:space="preserve">Salve para usar depois. Qual dependência
costuma passar despercebida?</x:t>
  </x:si>
  <x:si>
    <x:t xml:space="preserve">Acessos e logística</x:t>
  </x:si>
  <x:si>
    <x:t xml:space="preserve">Como os materiais chegam ao ponto de
uso?</x:t>
  </x:si>
  <x:si>
    <x:t xml:space="preserve">A conversa sobre execução também precisa
considerar acesso, movimentação e espaço
disponível. Leve o contexto para a equipe que
organiza o trabalho no local.</x:t>
  </x:si>
  <x:si>
    <x:t xml:space="preserve">O carrossel de hoje trata de acessos e
logística. Qual informação de acesso faz
falta no planejamento?</x:t>
  </x:si>
  <x:si>
    <x:t xml:space="preserve">Como você analisaria este exemplo? Um
esquema didático de acesso e área de
apoio em uma obra.</x:t>
  </x:si>
  <x:si>
    <x:t xml:space="preserve">Comece por aqui: identifique o ponto de uso.</x:t>
  </x:si>
  <x:si>
    <x:t xml:space="preserve">Hoje tem exemplo prático de acessos e
logística.</x:t>
  </x:si>
  <x:si>
    <x:t xml:space="preserve">Dois pontos para observar: identifique o ponto
de uso; registre o acesso previsto.</x:t>
  </x:si>
  <x:si>
    <x:t xml:space="preserve">Veja o Reel de hoje. Qual informação de
acesso faz falta no planejamento?</x:t>
  </x:si>
  <x:si>
    <x:t xml:space="preserve">Antes de concluir a análise: liste
limitações conhecidas.</x:t>
  </x:si>
  <x:si>
    <x:t xml:space="preserve">Para definir o próximo passo: leve a análise
aos responsáveis da obra.</x:t>
  </x:si>
  <x:si>
    <x:t xml:space="preserve">O checklist de acessos e logística está
no feed.</x:t>
  </x:si>
  <x:si>
    <x:t xml:space="preserve">Salve para usar depois. Qual informação de
acesso faz falta no planejamento?</x:t>
  </x:si>
  <x:si>
    <x:t xml:space="preserve">Interfaces de
execução</x:t>
  </x:si>
  <x:si>
    <x:t xml:space="preserve">Uma região de encontro entre sistemas pode
exigir decisões de mais de uma disciplina.
Localize o ponto e encaminhe a pergunta com as
referências necessárias.</x:t>
  </x:si>
  <x:si>
    <x:t xml:space="preserve">O carrossel de hoje trata de interfaces de
execução. Em qual interface sua equipe mais
precisa se alinhar?</x:t>
  </x:si>
  <x:si>
    <x:t xml:space="preserve">Como você analisaria este exemplo? Um
detalhe ilustrativo de encontro de
fechamento e instalação.</x:t>
  </x:si>
  <x:si>
    <x:t xml:space="preserve">Comece por aqui: localize a interface.</x:t>
  </x:si>
  <x:si>
    <x:t xml:space="preserve">Hoje tem exemplo prático de interfaces
de execução.</x:t>
  </x:si>
  <x:si>
    <x:t xml:space="preserve">Dois pontos para observar: localize a
interface; identifique as disciplinas.</x:t>
  </x:si>
  <x:si>
    <x:t xml:space="preserve">Veja o Reel de hoje. Em qual interface sua
equipe mais precisa se alinhar?</x:t>
  </x:si>
  <x:si>
    <x:t xml:space="preserve">Antes de concluir a análise: reúna as
referências pertinentes.</x:t>
  </x:si>
  <x:si>
    <x:t xml:space="preserve">Para definir o próximo passo: defina quem
precisa responder.</x:t>
  </x:si>
  <x:si>
    <x:t xml:space="preserve">O checklist de interfaces de execução
está no feed.</x:t>
  </x:si>
  <x:si>
    <x:t xml:space="preserve">Salve para usar depois. Em qual interface sua
equipe mais precisa se alinhar?</x:t>
  </x:si>
  <x:si>
    <x:t xml:space="preserve">Quantidades e
escopo</x:t>
  </x:si>
  <x:si>
    <x:t xml:space="preserve">A quantidade se refere a qual conjunto
de elementos?</x:t>
  </x:si>
  <x:si>
    <x:t xml:space="preserve">Antes de usar uma quantidade, confirme o
escopo, os filtros e a unidade. O contexto da
seleção faz parte do significado do número.</x:t>
  </x:si>
  <x:si>
    <x:t xml:space="preserve">O carrossel de hoje trata de quantidades e
escopo. Como você registra o escopo de uma
contagem?</x:t>
  </x:si>
  <x:si>
    <x:t xml:space="preserve">Como você analisaria este exemplo? Uma
seleção didática de portas de um
pavimento, contrastada com o conjunto
de todos os pavimentos.</x:t>
  </x:si>
  <x:si>
    <x:t xml:space="preserve">Comece por aqui: defina quais elementos
entram.</x:t>
  </x:si>
  <x:si>
    <x:t xml:space="preserve">Hoje tem exemplo prático de quantidades
e escopo.</x:t>
  </x:si>
  <x:si>
    <x:t xml:space="preserve">Dois pontos para observar: defina quais
elementos entram; confira os filtros
aplicados.</x:t>
  </x:si>
  <x:si>
    <x:t xml:space="preserve">Veja o Reel de hoje. Como você registra o
escopo de uma contagem?</x:t>
  </x:si>
  <x:si>
    <x:t xml:space="preserve">Antes de concluir a análise:
identifique a unidade.</x:t>
  </x:si>
  <x:si>
    <x:t xml:space="preserve">Para definir o próximo passo: registre a
versão e o escopo.</x:t>
  </x:si>
  <x:si>
    <x:t xml:space="preserve">O checklist de quantidades e escopo
está no feed.</x:t>
  </x:si>
  <x:si>
    <x:t xml:space="preserve">Salve para usar depois. Como você registra o
escopo de uma contagem?</x:t>
  </x:si>
  <x:si>
    <x:t xml:space="preserve">Apresentação ao
cliente</x:t>
  </x:si>
  <x:si>
    <x:t xml:space="preserve">Selecione as vistas e as informações a partir
da pergunta que precisa ser discutida.
Explique os termos técnicos necessários para
acompanhar a decisão.</x:t>
  </x:si>
  <x:si>
    <x:t xml:space="preserve">O carrossel de hoje trata de apresentação ao
cliente. Qual dúvida você ouve mais durante
uma apresentação?</x:t>
  </x:si>
  <x:si>
    <x:t xml:space="preserve">Como você analisaria este exemplo? Duas
imagens didáticas da mesma sala: uma
visão geral e um recorte ligado à
pergunta do cliente.</x:t>
  </x:si>
  <x:si>
    <x:t xml:space="preserve">Comece por aqui: identifique a dúvida do
cliente.</x:t>
  </x:si>
  <x:si>
    <x:t xml:space="preserve">Hoje tem exemplo prático de
apresentação ao cliente.</x:t>
  </x:si>
  <x:si>
    <x:t xml:space="preserve">Dois pontos para observar: identifique a
dúvida do cliente; selecione uma referência
pertinente.</x:t>
  </x:si>
  <x:si>
    <x:t xml:space="preserve">Veja o Reel de hoje. Qual dúvida você ouve
mais durante uma apresentação?</x:t>
  </x:si>
  <x:si>
    <x:t xml:space="preserve">Antes de concluir a análise: explique
os termos essenciais.</x:t>
  </x:si>
  <x:si>
    <x:t xml:space="preserve">Para definir o próximo passo: confirme o
entendimento da proposta.</x:t>
  </x:si>
  <x:si>
    <x:t xml:space="preserve">O checklist de apresentação ao cliente
está no feed.</x:t>
  </x:si>
  <x:si>
    <x:t xml:space="preserve">Salve para usar depois. Qual dúvida você ouve
mais durante uma apresentação?</x:t>
  </x:si>
  <x:si>
    <x:t xml:space="preserve">Pontos de vista da
equipe</x:t>
  </x:si>
  <x:si>
    <x:t xml:space="preserve">Pessoas com responsabilidades diferentes podem
precisar de informações distintas. Organize a
apresentação para a tarefa de cada
participante.</x:t>
  </x:si>
  <x:si>
    <x:t xml:space="preserve">O carrossel de hoje trata de pontos de vista
da equipe. Quem precisa de outro recorte para
entender a análise?</x:t>
  </x:si>
  <x:si>
    <x:t xml:space="preserve">Como você analisaria este exemplo? O
mesmo ambiente ilustrativo visto por
projeto, execução e operação, com
perguntas diferentes.</x:t>
  </x:si>
  <x:si>
    <x:t xml:space="preserve">Comece por aqui: identifique cada
participante.</x:t>
  </x:si>
  <x:si>
    <x:t xml:space="preserve">Hoje tem exemplo prático de pontos de
vista da equipe.</x:t>
  </x:si>
  <x:si>
    <x:t xml:space="preserve">Dois pontos para observar: identifique cada
participante; descreva sua tarefa.</x:t>
  </x:si>
  <x:si>
    <x:t xml:space="preserve">Veja o Reel de hoje. Quem precisa de outro
recorte para entender a análise?</x:t>
  </x:si>
  <x:si>
    <x:t xml:space="preserve">Antes de concluir a análise: selecione
a informação pertinente.</x:t>
  </x:si>
  <x:si>
    <x:t xml:space="preserve">Para definir o próximo passo: reúna as
questões comuns.</x:t>
  </x:si>
  <x:si>
    <x:t xml:space="preserve">O checklist de pontos de vista da
equipe está no feed.</x:t>
  </x:si>
  <x:si>
    <x:t xml:space="preserve">Salve para usar depois. Quem precisa de outro
recorte para entender a análise?</x:t>
  </x:si>
  <x:si>
    <x:t xml:space="preserve">Reunião com decisão
clara</x:t>
  </x:si>
  <x:si>
    <x:t xml:space="preserve">Uma reunião pode terminar com uma decisão, uma
pendência bem definida ou uma próxima
verificação. Registre qual desses resultados
foi alcançado.</x:t>
  </x:si>
  <x:si>
    <x:t xml:space="preserve">O carrossel de hoje trata de reunião com
decisão clara. Como vocês registram o que
ficou para depois?</x:t>
  </x:si>
  <x:si>
    <x:t xml:space="preserve">Como você analisaria este exemplo? Uma
ata didática curta que distingue
decisão tomada de informação ainda
aguardada.</x:t>
  </x:si>
  <x:si>
    <x:t xml:space="preserve">Comece por aqui: defina o resultado esperado.</x:t>
  </x:si>
  <x:si>
    <x:t xml:space="preserve">Hoje tem exemplo prático de reunião com
decisão clara.</x:t>
  </x:si>
  <x:si>
    <x:t xml:space="preserve">Dois pontos para observar: defina o resultado
esperado; registre o que foi decidido.</x:t>
  </x:si>
  <x:si>
    <x:t xml:space="preserve">Veja o Reel de hoje. Como vocês registram o
que ficou para depois?</x:t>
  </x:si>
  <x:si>
    <x:t xml:space="preserve">Antes de concluir a análise: separe o
que permanece pendente.</x:t>
  </x:si>
  <x:si>
    <x:t xml:space="preserve">Para definir o próximo passo: combine
responsáveis e próximos passos.</x:t>
  </x:si>
  <x:si>
    <x:t xml:space="preserve">O checklist de reunião com decisão
clara está no feed.</x:t>
  </x:si>
  <x:si>
    <x:t xml:space="preserve">Salve para usar depois. Como vocês registram
o que ficou para depois?</x:t>
  </x:si>
  <x:si>
    <x:t xml:space="preserve">Observações de
campo</x:t>
  </x:si>
  <x:si>
    <x:t xml:space="preserve">Como levar uma observação da obra para
a revisão?</x:t>
  </x:si>
  <x:si>
    <x:t xml:space="preserve">Uma observação precisa de localização, data e
descrição objetiva. Encaminhe o registro para
quem pode avaliar a relação com o projeto.</x:t>
  </x:si>
  <x:si>
    <x:t xml:space="preserve">O carrossel de hoje trata de observações de
campo. Qual contexto ajuda a entender uma
observação de campo?</x:t>
  </x:si>
  <x:si>
    <x:t xml:space="preserve">Como você analisaria este exemplo? Um
registro ilustrativo de campo com foto
de referência autorizada ou desenho,
localização e pergunta.</x:t>
  </x:si>
  <x:si>
    <x:t xml:space="preserve">Comece por aqui: identifique local e data.</x:t>
  </x:si>
  <x:si>
    <x:t xml:space="preserve">Hoje tem exemplo prático de observações
de campo.</x:t>
  </x:si>
  <x:si>
    <x:t xml:space="preserve">Dois pontos para observar: identifique local e
data; descreva o observado.</x:t>
  </x:si>
  <x:si>
    <x:t xml:space="preserve">Veja o Reel de hoje. Qual contexto ajuda a
entender uma observação de campo?</x:t>
  </x:si>
  <x:si>
    <x:t xml:space="preserve">Antes de concluir a análise: inclua a
referência necessária.</x:t>
  </x:si>
  <x:si>
    <x:t xml:space="preserve">Para definir o próximo passo: encaminhe para
avaliação responsável.</x:t>
  </x:si>
  <x:si>
    <x:t xml:space="preserve">O checklist de observações de campo
está no feed.</x:t>
  </x:si>
  <x:si>
    <x:t xml:space="preserve">Salve para usar depois. Qual contexto ajuda a
entender uma observação de campo?</x:t>
  </x:si>
  <x:si>
    <x:t xml:space="preserve">Escolha de piloto</x:t>
  </x:si>
  <x:si>
    <x:t xml:space="preserve">Escolha uma tarefa limitada, com responsáveis
e critério de conclusão. O piloto deve
produzir observações que ajudem a decidir o
próximo passo.</x:t>
  </x:si>
  <x:si>
    <x:t xml:space="preserve">O carrossel de hoje trata de escolha de
piloto. Qual tarefa da sua equipe poderia
virar um piloto?</x:t>
  </x:si>
  <x:si>
    <x:t xml:space="preserve">Como você analisaria este exemplo? Um
piloto fictício para revisar uma sala,
com escopo restrito e uma pergunta
definida.</x:t>
  </x:si>
  <x:si>
    <x:t xml:space="preserve">Comece por aqui: escolha uma tarefa limitada.</x:t>
  </x:si>
  <x:si>
    <x:t xml:space="preserve">Hoje tem exemplo prático de escolha de
piloto.</x:t>
  </x:si>
  <x:si>
    <x:t xml:space="preserve">Dois pontos para observar: escolha uma tarefa
limitada; defina os participantes.</x:t>
  </x:si>
  <x:si>
    <x:t xml:space="preserve">Veja o Reel de hoje. Qual tarefa da sua
equipe poderia virar um piloto?</x:t>
  </x:si>
  <x:si>
    <x:t xml:space="preserve">Antes de concluir a análise: combine o
critério de conclusão.</x:t>
  </x:si>
  <x:si>
    <x:t xml:space="preserve">Para definir o próximo passo: registre o
aprendizado.</x:t>
  </x:si>
  <x:si>
    <x:t xml:space="preserve">O checklist de escolha de piloto está
no feed.</x:t>
  </x:si>
  <x:si>
    <x:t xml:space="preserve">Salve para usar depois. Qual tarefa da sua
equipe poderia virar um piloto?</x:t>
  </x:si>
  <x:si>
    <x:t xml:space="preserve">Aprendizado da
equipe</x:t>
  </x:si>
  <x:si>
    <x:t xml:space="preserve">Organize o aprendizado a partir do trabalho
que a pessoa precisa realizar. Um exercício
completo permite observar dúvidas que uma
lista de comandos pode deixar passar.</x:t>
  </x:si>
  <x:si>
    <x:t xml:space="preserve">O carrossel de hoje trata de aprendizado da
equipe. Qual tarefa você gostaria de praticar
com sua equipe?</x:t>
  </x:si>
  <x:si>
    <x:t xml:space="preserve">Como você analisaria este exemplo? Um
exercício didático que começa com uma
pergunta, passa pela referência e
termina com um registro.</x:t>
  </x:si>
  <x:si>
    <x:t xml:space="preserve">Comece por aqui: defina a tarefa do exercício.</x:t>
  </x:si>
  <x:si>
    <x:t xml:space="preserve">Hoje tem exemplo prático de aprendizado
da equipe.</x:t>
  </x:si>
  <x:si>
    <x:t xml:space="preserve">Dois pontos para observar: defina a tarefa do
exercício; prepare uma referência acessível.</x:t>
  </x:si>
  <x:si>
    <x:t xml:space="preserve">Veja o Reel de hoje. Qual tarefa você
gostaria de praticar com sua equipe?</x:t>
  </x:si>
  <x:si>
    <x:t xml:space="preserve">Antes de concluir a análise: acompanhe
a execução completa.</x:t>
  </x:si>
  <x:si>
    <x:t xml:space="preserve">Para definir o próximo passo: registre dúvidas
recorrentes.</x:t>
  </x:si>
  <x:si>
    <x:t xml:space="preserve">O checklist de aprendizado da equipe
está no feed.</x:t>
  </x:si>
  <x:si>
    <x:t xml:space="preserve">Salve para usar depois. Qual tarefa você
gostaria de praticar com sua equipe?</x:t>
  </x:si>
  <x:si>
    <x:t xml:space="preserve">Critérios de
sucesso</x:t>
  </x:si>
  <x:si>
    <x:t xml:space="preserve">Defina o que será observado antes do teste e
registre as condições da comparação. Tempo de
tarefa e necessidade de esclarecimentos podem
ser acompanhados com contexto.</x:t>
  </x:si>
  <x:si>
    <x:t xml:space="preserve">O carrossel de hoje trata de critérios de
sucesso. O que você mediria em um teste de
fluxo?</x:t>
  </x:si>
  <x:si>
    <x:t xml:space="preserve">Como você analisaria este exemplo? Uma
ficha de medição vazia para registrar
uma tarefa repetida.</x:t>
  </x:si>
  <x:si>
    <x:t xml:space="preserve">Comece por aqui: escolha o que observar.</x:t>
  </x:si>
  <x:si>
    <x:t xml:space="preserve">Hoje tem exemplo prático de critérios
de sucesso.</x:t>
  </x:si>
  <x:si>
    <x:t xml:space="preserve">Dois pontos para observar: escolha o que
observar; registre a situação inicial.</x:t>
  </x:si>
  <x:si>
    <x:t xml:space="preserve">Veja o Reel de hoje. O que você mediria em um
teste de fluxo?</x:t>
  </x:si>
  <x:si>
    <x:t xml:space="preserve">Antes de concluir a análise: mantenha
as condições comparáveis.</x:t>
  </x:si>
  <x:si>
    <x:t xml:space="preserve">Para definir o próximo passo: discuta o
resultado com a equipe.</x:t>
  </x:si>
  <x:si>
    <x:t xml:space="preserve">O checklist de critérios de sucesso
está no feed.</x:t>
  </x:si>
  <x:si>
    <x:t xml:space="preserve">Salve para usar depois. O que você mediria em
um teste de fluxo?</x:t>
  </x:si>
  <x:si>
    <x:t xml:space="preserve">Avaliação de
ferramentas</x:t>
  </x:si>
  <x:si>
    <x:t xml:space="preserve">Use um exemplo pertinente, os arquivos
esperados e as condições reais da equipe.
Registre onde o fluxo atende ao pedido e onde
ainda precisa de verificação.</x:t>
  </x:si>
  <x:si>
    <x:t xml:space="preserve">O carrossel de hoje trata de avaliação de
ferramentas. Qual condição não pode faltar no
teste de uma ferramenta?</x:t>
  </x:si>
  <x:si>
    <x:t xml:space="preserve">Como você analisaria este exemplo? Um
roteiro de avaliação didático aplicado
à leitura de um modelo e ao registro de
uma dúvida.</x:t>
  </x:si>
  <x:si>
    <x:t xml:space="preserve">Comece por aqui: defina a tarefa de avaliação.</x:t>
  </x:si>
  <x:si>
    <x:t xml:space="preserve">Hoje tem exemplo prático de avaliação
de ferramentas.</x:t>
  </x:si>
  <x:si>
    <x:t xml:space="preserve">Dois pontos para observar: defina a tarefa de
avaliação; use um exemplo representativo.</x:t>
  </x:si>
  <x:si>
    <x:t xml:space="preserve">Veja o Reel de hoje. Qual condição não pode
faltar no teste de uma ferramenta?</x:t>
  </x:si>
  <x:si>
    <x:t xml:space="preserve">Antes de concluir a análise: observe as
condições reais de uso.</x:t>
  </x:si>
  <x:si>
    <x:t xml:space="preserve">Para definir o próximo passo: documente
atendimentos e limites.</x:t>
  </x:si>
  <x:si>
    <x:t xml:space="preserve">O checklist de avaliação de ferramentas
está no feed.</x:t>
  </x:si>
  <x:si>
    <x:t xml:space="preserve">Salve para usar depois. Qual condição não
pode faltar no teste de uma ferramenta?</x:t>
  </x:si>
  <x:si>
    <x:t xml:space="preserve">Preparação da
entrega final</x:t>
  </x:si>
  <x:si>
    <x:t xml:space="preserve">A entrega pode ser entendida por quem
vai recebê-la?</x:t>
  </x:si>
  <x:si>
    <x:t xml:space="preserve">Reúna o conteúdo, as referências e as
pendências com um responsável pelo
recebimento. Confirme quais informações serão
usadas depois da entrega.</x:t>
  </x:si>
  <x:si>
    <x:t xml:space="preserve">O carrossel de hoje trata de preparação da
entrega final. Quem participa da conferência
da entrega final?</x:t>
  </x:si>
  <x:si>
    <x:t xml:space="preserve">Como você analisaria este exemplo? Uma
lista didática para passagem de
informações de uma equipe de projeto à
equipe de operação.</x:t>
  </x:si>
  <x:si>
    <x:t xml:space="preserve">Comece por aqui: identifique o destinatário.</x:t>
  </x:si>
  <x:si>
    <x:t xml:space="preserve">Hoje tem exemplo prático de preparação
da entrega final.</x:t>
  </x:si>
  <x:si>
    <x:t xml:space="preserve">Dois pontos para observar: identifique o
destinatário; liste os itens combinados.</x:t>
  </x:si>
  <x:si>
    <x:t xml:space="preserve">Veja o Reel de hoje. Quem participa da
conferência da entrega final?</x:t>
  </x:si>
  <x:si>
    <x:t xml:space="preserve">Antes de concluir a análise: confira
versões e referências.</x:t>
  </x:si>
  <x:si>
    <x:t xml:space="preserve">Para definir o próximo passo: registre o que
exige complementação.</x:t>
  </x:si>
  <x:si>
    <x:t xml:space="preserve">O checklist de preparação da entrega
final está no feed.</x:t>
  </x:si>
  <x:si>
    <x:t xml:space="preserve">Salve para usar depois. Quem participa da
conferência da entrega final?</x:t>
  </x:si>
  <x:si>
    <x:t xml:space="preserve">Registro do
executado</x:t>
  </x:si>
  <x:si>
    <x:t xml:space="preserve">Como registrar uma diferença observada
na execução?</x:t>
  </x:si>
  <x:si>
    <x:t xml:space="preserve">Uma diferença observada deve ser descrita e
avaliada antes de atualizar os registros do
projeto. Defina responsáveis e evidências para
manter o contexto do executado.</x:t>
  </x:si>
  <x:si>
    <x:t xml:space="preserve">O carrossel de hoje trata de registro do
executado. Como sua equipe encaminha
diferenças observadas em campo?</x:t>
  </x:si>
  <x:si>
    <x:t xml:space="preserve">Como você analisaria este exemplo? Duas
representações didáticas com uma
diferença sinalizada para avaliação.</x:t>
  </x:si>
  <x:si>
    <x:t xml:space="preserve">Comece por aqui: descreva a diferença
observada.</x:t>
  </x:si>
  <x:si>
    <x:t xml:space="preserve">Hoje tem exemplo prático de registro do
executado.</x:t>
  </x:si>
  <x:si>
    <x:t xml:space="preserve">Dois pontos para observar: descreva a
diferença observada; registre a evidência
disponível.</x:t>
  </x:si>
  <x:si>
    <x:t xml:space="preserve">Veja o Reel de hoje. Como sua equipe
encaminha diferenças observadas em campo?</x:t>
  </x:si>
  <x:si>
    <x:t xml:space="preserve">Antes de concluir a análise: solicite
avaliação dos responsáveis.</x:t>
  </x:si>
  <x:si>
    <x:t xml:space="preserve">Para definir o próximo passo: documente a
atualização confirmada.</x:t>
  </x:si>
  <x:si>
    <x:t xml:space="preserve">O checklist de registro do executado
está no feed.</x:t>
  </x:si>
  <x:si>
    <x:t xml:space="preserve">Salve para usar depois. Como sua equipe
encaminha diferenças observadas em campo?</x:t>
  </x:si>
  <x:si>
    <x:t xml:space="preserve">Informação para
operação</x:t>
  </x:si>
  <x:si>
    <x:t xml:space="preserve">Pergunte a quem vai operar o ativo quais
informações serão consultadas. O conteúdo da
entrega deve refletir esse uso e a
responsabilidade por manter os registros.</x:t>
  </x:si>
  <x:si>
    <x:t xml:space="preserve">O carrossel de hoje trata de informação para
operação. Qual informação você gostaria de
receber para operar o ativo?</x:t>
  </x:si>
  <x:si>
    <x:t xml:space="preserve">Como você analisaria este exemplo? Uma
ficha ilustrativa de equipamento com
identificação, localização e referência
documental.</x:t>
  </x:si>
  <x:si>
    <x:t xml:space="preserve">Comece por aqui: identifique quem vai operar.</x:t>
  </x:si>
  <x:si>
    <x:t xml:space="preserve">Hoje tem exemplo prático de informação
para operação.</x:t>
  </x:si>
  <x:si>
    <x:t xml:space="preserve">Dois pontos para observar: identifique quem
vai operar; liste as consultas necessárias.</x:t>
  </x:si>
  <x:si>
    <x:t xml:space="preserve">Veja o Reel de hoje. Qual informação você
gostaria de receber para operar o ativo?</x:t>
  </x:si>
  <x:si>
    <x:t xml:space="preserve">Para definir o próximo passo: combine a
manutenção dos registros.</x:t>
  </x:si>
  <x:si>
    <x:t xml:space="preserve">O checklist de informação para operação
está no feed.</x:t>
  </x:si>
  <x:si>
    <x:t xml:space="preserve">Salve para usar depois. Qual informação você
gostaria de receber para operar o ativo?</x:t>
  </x:si>
  <x:si>
    <x:t xml:space="preserve">Localização de
documentos</x:t>
  </x:si>
  <x:si>
    <x:t xml:space="preserve">É possível encontrar a referência
quando ela é necessária?</x:t>
  </x:si>
  <x:si>
    <x:t xml:space="preserve">Uma entrega pode conter documentos úteis que
ficam difíceis de localizar. Organize os
vínculos entre item, identificação e documento
conforme a rotina de consulta.</x:t>
  </x:si>
  <x:si>
    <x:t xml:space="preserve">O carrossel de hoje trata de localização de
documentos. Como vocês localizam documentos
de um equipamento?</x:t>
  </x:si>
  <x:si>
    <x:t xml:space="preserve">Como você analisaria este exemplo? Um
índice editorial que relaciona três
equipamentos fictícios aos respectivos
documentos.</x:t>
  </x:si>
  <x:si>
    <x:t xml:space="preserve">Comece por aqui: identifique o item
consultado.</x:t>
  </x:si>
  <x:si>
    <x:t xml:space="preserve">Hoje tem exemplo prático de localização
de documentos.</x:t>
  </x:si>
  <x:si>
    <x:t xml:space="preserve">Dois pontos para observar: identifique o item
consultado; confira a referência documental.</x:t>
  </x:si>
  <x:si>
    <x:t xml:space="preserve">Veja o Reel de hoje. Como vocês localizam
documentos de um equipamento?</x:t>
  </x:si>
  <x:si>
    <x:t xml:space="preserve">Antes de concluir a análise: teste o
caminho de acesso.</x:t>
  </x:si>
  <x:si>
    <x:t xml:space="preserve">Para definir o próximo passo: registre quem
mantém o vínculo.</x:t>
  </x:si>
  <x:si>
    <x:t xml:space="preserve">O checklist de localização de
documentos está no feed.</x:t>
  </x:si>
  <x:si>
    <x:t xml:space="preserve">Salve para usar depois. Como vocês localizam
documentos de um equipamento?</x:t>
  </x:si>
  <x:si>
    <x:t xml:space="preserve">Lições aprendidas</x:t>
  </x:si>
  <x:si>
    <x:t xml:space="preserve">Uma lição aprendida deve descrever a situação,
o aprendizado e a mudança proposta. Escolha um
responsável para verificar se o novo acordo
será aplicado.</x:t>
  </x:si>
  <x:si>
    <x:t xml:space="preserve">O carrossel de hoje trata de lições
aprendidas. Qual aprendizado você levaria
para o próximo projeto?</x:t>
  </x:si>
  <x:si>
    <x:t xml:space="preserve">Como você analisaria este exemplo? Um
registro fictício de dificuldade de
revisão transformado em um ajuste de
procedimento.</x:t>
  </x:si>
  <x:si>
    <x:t xml:space="preserve">Comece por aqui: descreva a situação.</x:t>
  </x:si>
  <x:si>
    <x:t xml:space="preserve">Hoje tem exemplo prático de lições
aprendidas.</x:t>
  </x:si>
  <x:si>
    <x:t xml:space="preserve">Dois pontos para observar: descreva a
situação; registre o aprendizado.</x:t>
  </x:si>
  <x:si>
    <x:t xml:space="preserve">Veja o Reel de hoje. Qual aprendizado você
levaria para o próximo projeto?</x:t>
  </x:si>
  <x:si>
    <x:t xml:space="preserve">Antes de concluir a análise: proponha
uma mudança concreta.</x:t>
  </x:si>
  <x:si>
    <x:t xml:space="preserve">Para definir o próximo passo: defina quem
acompanha a aplicação.</x:t>
  </x:si>
  <x:si>
    <x:t xml:space="preserve">O checklist de lições aprendidas está
no feed.</x:t>
  </x:si>
  <x:si>
    <x:t xml:space="preserve">Salve para usar depois. Qual aprendizado você
levaria para o próximo projeto?</x:t>
  </x:si>
  <x:si>
    <x:t xml:space="preserve">Revisão dos acordos</x:t>
  </x:si>
  <x:si>
    <x:t xml:space="preserve">O padrão combinado ainda atende à
rotina?</x:t>
  </x:si>
  <x:si>
    <x:t xml:space="preserve">Revisite os acordos quando a forma de
trabalhar mudar. Registre o que será mantido e
qual atualização precisa ser comunicada à
equipe.</x:t>
  </x:si>
  <x:si>
    <x:t xml:space="preserve">O carrossel de hoje trata de revisão dos
acordos. Qual acordo da sua equipe precisa
ser revisto?</x:t>
  </x:si>
  <x:si>
    <x:t xml:space="preserve">Como você analisaria este exemplo? Uma
revisão didática de convenção de nomes
após a entrada de uma nova disciplina.</x:t>
  </x:si>
  <x:si>
    <x:t xml:space="preserve">Comece por aqui: liste os acordos em uso.</x:t>
  </x:si>
  <x:si>
    <x:t xml:space="preserve">Hoje tem exemplo prático de revisão dos
acordos.</x:t>
  </x:si>
  <x:si>
    <x:t xml:space="preserve">Dois pontos para observar: liste os acordos em
uso; identifique a mudança na rotina.</x:t>
  </x:si>
  <x:si>
    <x:t xml:space="preserve">Veja o Reel de hoje. Qual acordo da sua
equipe precisa ser revisto?</x:t>
  </x:si>
  <x:si>
    <x:t xml:space="preserve">Antes de concluir a análise: discuta os
ajustes necessários.</x:t>
  </x:si>
  <x:si>
    <x:t xml:space="preserve">Para definir o próximo passo: comunique a
versão atualizada.</x:t>
  </x:si>
  <x:si>
    <x:t xml:space="preserve">O checklist de revisão dos acordos está
no feed.</x:t>
  </x:si>
  <x:si>
    <x:t xml:space="preserve">Salve para usar depois. Qual acordo da sua
equipe precisa ser revisto?</x:t>
  </x:si>
  <x:si>
    <x:t xml:space="preserve">Evidências de
resultado</x:t>
  </x:si>
  <x:si>
    <x:t xml:space="preserve">Um exemplo real precisa mostrar a situação, a
ação e a evidência disponível. Diferencie
observações de hipóteses e obtenha autorização
antes de expor pessoas ou projetos.</x:t>
  </x:si>
  <x:si>
    <x:t xml:space="preserve">O carrossel de hoje trata de evidências de
resultado. Que evidência torna um caso útil
para você?</x:t>
  </x:si>
  <x:si>
    <x:t xml:space="preserve">Como você analisaria este exemplo?
Estrutura editorial de caso com campos
ainda vazios para evidências.</x:t>
  </x:si>
  <x:si>
    <x:t xml:space="preserve">Comece por aqui: descreva a situação inicial.</x:t>
  </x:si>
  <x:si>
    <x:t xml:space="preserve">Hoje tem exemplo prático de evidências
de resultado.</x:t>
  </x:si>
  <x:si>
    <x:t xml:space="preserve">Dois pontos para observar: descreva a situação
inicial; registre a ação realizada.</x:t>
  </x:si>
  <x:si>
    <x:t xml:space="preserve">Veja o Reel de hoje. Que evidência torna um
caso útil para você?</x:t>
  </x:si>
  <x:si>
    <x:t xml:space="preserve">Antes de concluir a análise: reúna
evidências verificáveis.</x:t>
  </x:si>
  <x:si>
    <x:t xml:space="preserve">Para definir o próximo passo: confirme a
autorização de uso.</x:t>
  </x:si>
  <x:si>
    <x:t xml:space="preserve">O checklist de evidências de resultado
está no feed.</x:t>
  </x:si>
  <x:si>
    <x:t xml:space="preserve">Salve para usar depois. Que evidência torna
um caso útil para você?</x:t>
  </x:si>
  <x:si>
    <x:t xml:space="preserve">Perguntas
recorrentes</x:t>
  </x:si>
  <x:si>
    <x:t xml:space="preserve">Organize perguntas recebidas por assunto e
escolha exemplos que respondam às dúvidas com
clareza. Uma pergunta só deve ser atribuída à
audiência quando tiver sido recebida.</x:t>
  </x:si>
  <x:si>
    <x:t xml:space="preserve">O carrossel de hoje trata de perguntas
recorrentes. Qual pergunta você quer ver
respondida pela Arxis?</x:t>
  </x:si>
  <x:si>
    <x:t xml:space="preserve">Como você analisaria este exemplo? Um
roteiro editorial de perguntas
frequentes sobre leitura de modelos,
com exemplo genérico identificado.</x:t>
  </x:si>
  <x:si>
    <x:t xml:space="preserve">Comece por aqui: reúna as perguntas recebidas.</x:t>
  </x:si>
  <x:si>
    <x:t xml:space="preserve">Hoje tem exemplo prático de perguntas
recorrentes.</x:t>
  </x:si>
  <x:si>
    <x:t xml:space="preserve">Dois pontos para observar: reúna as perguntas
recebidas; agrupe por assunto.</x:t>
  </x:si>
  <x:si>
    <x:t xml:space="preserve">Veja o Reel de hoje. Qual pergunta você quer
ver respondida pela Arxis?</x:t>
  </x:si>
  <x:si>
    <x:t xml:space="preserve">Antes de concluir a análise: prepare um
exemplo pertinente.</x:t>
  </x:si>
  <x:si>
    <x:t xml:space="preserve">Para definir o próximo passo: revise a
resposta antes de publicar.</x:t>
  </x:si>
  <x:si>
    <x:t xml:space="preserve">O checklist de perguntas recorrentes
está no feed.</x:t>
  </x:si>
  <x:si>
    <x:t xml:space="preserve">Salve para usar depois. Qual pergunta você
quer ver respondida pela Arxis?</x:t>
  </x:si>
  <x:si>
    <x:t xml:space="preserve">Uma rotina para
revisar</x:t>
  </x:si>
  <x:si>
    <x:t xml:space="preserve">Qual sequência ajuda sua equipe a
revisar melhor?</x:t>
  </x:si>
  <x:si>
    <x:t xml:space="preserve">Combine um fluxo pequeno que conecte pergunta,
referência, análise e registro. Experimente a
sequência e ajuste os pontos que ainda geram
dúvidas.</x:t>
  </x:si>
  <x:si>
    <x:t xml:space="preserve">O carrossel de hoje trata de uma rotina para
revisar. Qual etapa do seu fluxo merece mais
atenção?</x:t>
  </x:si>
  <x:si>
    <x:t xml:space="preserve">Como você analisaria este exemplo? Um
fluxo didático completo de revisão de
uma alteração de layout.</x:t>
  </x:si>
  <x:si>
    <x:t xml:space="preserve">Comece por aqui: formule a pergunta.</x:t>
  </x:si>
  <x:si>
    <x:t xml:space="preserve">Hoje tem exemplo prático de uma rotina
para revisar.</x:t>
  </x:si>
  <x:si>
    <x:t xml:space="preserve">Dois pontos para observar: formule a pergunta;
selecione a referência.</x:t>
  </x:si>
  <x:si>
    <x:t xml:space="preserve">Veja o Reel de hoje. Qual etapa do seu fluxo
merece mais atenção?</x:t>
  </x:si>
  <x:si>
    <x:t xml:space="preserve">Antes de concluir a análise: registre a
análise necessária.</x:t>
  </x:si>
  <x:si>
    <x:t xml:space="preserve">Para definir o próximo passo: defina o
encaminhamento.</x:t>
  </x:si>
  <x:si>
    <x:t xml:space="preserve">O checklist de uma rotina para revisar
está no feed.</x:t>
  </x:si>
  <x:si>
    <x:t xml:space="preserve">Salve para usar depois. Qual etapa do seu
fluxo merece mais atenção?</x:t>
  </x:si>
  <x:si>
    <x:t xml:space="preserve">Contexto para
conversar com a
Arxis</x:t>
  </x:si>
  <x:si>
    <x:t xml:space="preserve">O que contar para avaliar a Arxis no
seu contexto?</x:t>
  </x:si>
  <x:si>
    <x:t xml:space="preserve">Uma conversa sobre a ferramenta começa pela
tarefa, pelas informações usadas e pelas
pessoas envolvidas. Descrever esse contexto
ajuda a discutir aderência e próximos passos.</x:t>
  </x:si>
  <x:si>
    <x:t xml:space="preserve">O carrossel de hoje trata de contexto para
conversar com a Arxis. Qual desafio você quer
conversar com a Arxis?</x:t>
  </x:si>
  <x:si>
    <x:t xml:space="preserve">Como você analisaria este exemplo? Uma
ficha editorial de conversa com área de
atuação, tipo de projeto e desafio
principal.</x:t>
  </x:si>
  <x:si>
    <x:t xml:space="preserve">Comece por aqui: informe sua área de atuação.</x:t>
  </x:si>
  <x:si>
    <x:t xml:space="preserve">Hoje tem exemplo prático de contexto
para conversar com a Arxis.</x:t>
  </x:si>
  <x:si>
    <x:t xml:space="preserve">Dois pontos para observar: informe sua área de
atuação; descreva o tipo de projeto.</x:t>
  </x:si>
  <x:si>
    <x:t xml:space="preserve">Veja o Reel de hoje. Qual desafio você quer
conversar com a Arxis?</x:t>
  </x:si>
  <x:si>
    <x:t xml:space="preserve">Antes de concluir a análise: explique a
tarefa que deseja atender.</x:t>
  </x:si>
  <x:si>
    <x:t xml:space="preserve">Para definir o próximo passo: liste as
condições relevantes de uso.</x:t>
  </x:si>
  <x:si>
    <x:t xml:space="preserve">O checklist de contexto para conversar
com a Arxis está no feed.</x:t>
  </x:si>
  <x:si>
    <x:t xml:space="preserve">Salve para usar depois. Qual desafio você
quer conversar com a Arxis?</x:t>
  </x:si>
  <x:si>
    <x:t xml:space="preserve">Escolha do próximo
avanço</x:t>
  </x:si>
  <x:si>
    <x:t xml:space="preserve">Use os aprendizados do fluxo atual para
escolher uma próxima tarefa. A mudança deve
ter um motivo claro e um modo de observar se
atendeu ao pedido.</x:t>
  </x:si>
  <x:si>
    <x:t xml:space="preserve">O carrossel de hoje trata de escolha do
próximo avanço. Qual será o próximo passo da
sua equipe?</x:t>
  </x:si>
  <x:si>
    <x:t xml:space="preserve">Como você analisaria este exemplo? Uma
lista didática de três possíveis
melhorias, com uma escolha justificada
pelo aprendizado anterior.</x:t>
  </x:si>
  <x:si>
    <x:t xml:space="preserve">Comece por aqui: reúna o aprendizado do fluxo
atual.</x:t>
  </x:si>
  <x:si>
    <x:t xml:space="preserve">Hoje tem exemplo prático de escolha do
próximo avanço.</x:t>
  </x:si>
  <x:si>
    <x:t xml:space="preserve">Dois pontos para observar: reúna o aprendizado
do fluxo atual; liste as necessidades
restantes.</x:t>
  </x:si>
  <x:si>
    <x:t xml:space="preserve">Veja o Reel de hoje. Qual será o próximo
passo da sua equipe?</x:t>
  </x:si>
  <x:si>
    <x:t xml:space="preserve">Antes de concluir a análise: escolha
uma próxima tarefa.</x:t>
  </x:si>
  <x:si>
    <x:t xml:space="preserve">Para definir o próximo passo: defina como
acompanhar a mudança.</x:t>
  </x:si>
  <x:si>
    <x:t xml:space="preserve">O checklist de escolha do próximo
avanço está no feed.</x:t>
  </x:si>
  <x:si>
    <x:t xml:space="preserve">Salve para usar depois. Qual será o próximo
passo da sua equipe?</x:t>
  </x:si>
  <x:si>
    <x:t xml:space="preserve">Próximas dúvidas de
projeto</x:t>
  </x:si>
  <x:si>
    <x:t xml:space="preserve">Ao terminar uma revisão, registre as perguntas
que ainda precisam de resposta. Use as
informações disponíveis para escolher o
próximo ponto de análise.</x:t>
  </x:si>
  <x:si>
    <x:t xml:space="preserve">O carrossel de hoje trata de próximas dúvidas
de projeto. Qual dúvida de projeto você quer
aprofundar com a Arxis?</x:t>
  </x:si>
  <x:si>
    <x:t xml:space="preserve">Como você analisaria este exemplo? Uma
revisão ilustrativa de projeto que
termina com três perguntas ainda
abertas.</x:t>
  </x:si>
  <x:si>
    <x:t xml:space="preserve">Comece por aqui: revise as perguntas
trabalhadas.</x:t>
  </x:si>
  <x:si>
    <x:t xml:space="preserve">Hoje tem exemplo prático de próximas
dúvidas de projeto.</x:t>
  </x:si>
  <x:si>
    <x:t xml:space="preserve">Dois pontos para observar: revise as perguntas
trabalhadas; reúna dúvidas ainda abertas.</x:t>
  </x:si>
  <x:si>
    <x:t xml:space="preserve">Veja o Reel de hoje. Qual dúvida de projeto
você quer aprofundar com a Arxis?</x:t>
  </x:si>
  <x:si>
    <x:t xml:space="preserve">Três quadros em cada dia de segunda a sexta. Não há Stories obrigatórios nos fins de semana.</x:t>
  </x:si>
  <x:si>
    <x:t xml:space="preserve">Arxis · Direção de marca e plano de 360 dias</x:t>
  </x:si>
  <x:si>
    <x:t xml:space="preserve">Dados oficiais informados, regras visuais, 12 meses editoriais e canais de distribuição: Instagram, Facebook, LinkedIn, TikTok e YouTube.</x:t>
  </x:si>
  <x:si>
    <x:t xml:space="preserve">O cronograma foi ampliado para 360 dias. A produção e a revisão dos materiais devem acompanhar o contexto de cada mês.</x:t>
  </x:si>
  <x:si>
    <x:t xml:space="preserve">Item</x:t>
  </x:si>
  <x:si>
    <x:t xml:space="preserve">Orientação</x:t>
  </x:si>
  <x:si>
    <x:t xml:space="preserve">Objetivo do ciclo</x:t>
  </x:si>
  <x:si>
    <x:t xml:space="preserve">Apresentar a Arxis, desenvolver uma sequência educativa sobre BIM e construção digital e abrir conversas com contexto ao longo de 360 dias. O primeiro ciclo de quatro semanas foi preservado.</x:t>
  </x:si>
  <x:si>
    <x:t xml:space="preserve">Período proposto</x:t>
  </x:si>
  <x:si>
    <x:t xml:space="preserve">14/09/2026 a 08/09/2027, contando início e fim: 360 dias corridos. O período contém 206 datas de feed e 258 dias de Stories. As demais datas seguem a cadência de descanso e preparação.</x:t>
  </x:si>
  <x:si>
    <x:t xml:space="preserve">Público prioritário</x:t>
  </x:si>
  <x:si>
    <x:t xml:space="preserve">Arquitetos, engenheiros, coordenadores BIM e responsáveis por projetos e obras. Falar com situações da rotina e explicar siglas na primeira ocorrência.</x:t>
  </x:si>
  <x:si>
    <x:t xml:space="preserve">Marca</x:t>
  </x:si>
  <x:si>
    <x:t xml:space="preserve">Arxis</x:t>
  </x:si>
  <x:si>
    <x:t xml:space="preserve">Nome do perfil</x:t>
  </x:si>
  <x:si>
    <x:t xml:space="preserve">Arxis | BIM e Construção Digital</x:t>
  </x:si>
  <x:si>
    <x:t xml:space="preserve">Instagram</x:t>
  </x:si>
  <x:si>
    <x:t xml:space="preserve">@arxis.bim</x:t>
  </x:si>
  <x:si>
    <x:t xml:space="preserve">Site principal informado</x:t>
  </x:si>
  <x:si>
    <x:t xml:space="preserve">https://arxisbim.com.br</x:t>
  </x:si>
  <x:si>
    <x:t xml:space="preserve">App informado</x:t>
  </x:si>
  <x:si>
    <x:t xml:space="preserve">https://app.arxisbim.com.br</x:t>
  </x:si>
  <x:si>
    <x:t xml:space="preserve">API informada</x:t>
  </x:si>
  <x:si>
    <x:t xml:space="preserve">https://api.arxisbim.com.br</x:t>
  </x:si>
  <x:si>
    <x:t xml:space="preserve">Destino das chamadas</x:t>
  </x:si>
  <x:si>
    <x:t xml:space="preserve">Instagram: mensagem no Direct. Facebook: mensagem à página. LinkedIn: mensagem no perfil da Arxis. TikTok e YouTube: comentário ou link do perfil. Todos os canais convergem para o WhatsApp comercial da Arxis como destino final da conversa. Usar uma única palavra-chave de DM em todos os canais e definir a oferta (demo, lista de espera ou beta) antes da primeira publicação.</x:t>
  </x:si>
  <x:si>
    <x:t xml:space="preserve">Dados dos mockups</x:t>
  </x:si>
  <x:si>
    <x:t xml:space="preserve">Substituir arxis.com, nome@arxis.com, nomes e telefones ilustrativos pelos dados confirmados. App e API são referências de organização dos canais. Nas artes comerciais, priorizar perfil e site principal.</x:t>
  </x:si>
  <x:si>
    <x:t xml:space="preserve">Assinatura</x:t>
  </x:si>
  <x:si>
    <x:t xml:space="preserve">Visualize. Analise. Decida. Usar Tecnologia para projetos mais inteligentes como frase institucional de apoio, sem repetir as duas assinaturas em toda peça.</x:t>
  </x:si>
  <x:si>
    <x:t xml:space="preserve">Azul tecnologia</x:t>
  </x:si>
  <x:si>
    <x:t xml:space="preserve">#0E6B8F. Cor de destaque para títulos secundários, números e elementos do modelo.</x:t>
  </x:si>
  <x:si>
    <x:t xml:space="preserve">Azul marinho</x:t>
  </x:si>
  <x:si>
    <x:t xml:space="preserve">#1E2D3D. Texto principal, logo e peças de posicionamento.</x:t>
  </x:si>
  <x:si>
    <x:t xml:space="preserve">Laranja</x:t>
  </x:si>
  <x:si>
    <x:t xml:space="preserve">#F36B21. Usar em pontos, linhas, foco visual e chamadas curtas. Evitar texto pequeno laranja sobre branco.</x:t>
  </x:si>
  <x:si>
    <x:t xml:space="preserve">Cinza claro</x:t>
  </x:si>
  <x:si>
    <x:t xml:space="preserve">#E5E7EB. Divisórias e fundos secundários.</x:t>
  </x:si>
  <x:si>
    <x:t xml:space="preserve">Cinza escuro</x:t>
  </x:si>
  <x:si>
    <x:t xml:space="preserve">#4B5563. Texto de apoio.</x:t>
  </x:si>
  <x:si>
    <x:t xml:space="preserve">Tipografia nas artes</x:t>
  </x:si>
  <x:si>
    <x:t xml:space="preserve">Montserrat, conforme o guia fornecido. Títulos em peso forte, textos de apoio em peso regular. Usar a arte original do logotipo, sem redigitar ou reconstruir suas letras.</x:t>
  </x:si>
  <x:si>
    <x:t xml:space="preserve">Composição</x:t>
  </x:si>
  <x:si>
    <x:t xml:space="preserve">Priorizar fundo branco e espaço livre. Uma mensagem principal por peça. Alternar arquitetura, exemplos técnicos, pessoas e tipografia para que o feed não dependa da mesma fachada.</x:t>
  </x:si>
  <x:si>
    <x:t xml:space="preserve">Cinco templates</x:t>
  </x:si>
  <x:si>
    <x:t xml:space="preserve">1. Apresentação da marca. 2. Checklist em carrossel. 3. Exemplo técnico ilustrativo. 4. Capa de Reel e gravação. 5. Pergunta ou convite à conversa. Manter posição de logo e ritmo de títulos consistentes.</x:t>
  </x:si>
  <x:si>
    <x:t xml:space="preserve">Formatos de produção</x:t>
  </x:si>
  <x:si>
    <x:t xml:space="preserve">Adotar como padrão editorial: feed e carrosséis em 1080 × 1350 px (4:5), Reels e Stories em 1080 × 1920 px (9:16). São escolhas de produção deste plano, não uma lista de limites das plataformas. Conferir o recorte da capa e a prévia em cada rede.</x:t>
  </x:si>
  <x:si>
    <x:t xml:space="preserve">Leitura no celular</x:t>
  </x:si>
  <x:si>
    <x:t xml:space="preserve">Títulos curtos, de preferência até duas ou três linhas. Texto de apoio breve por página. Manter elementos importantes afastados das bordas e dos controles sobrepostos. Legendar falas e conferir o resultado com o som desligado.</x:t>
  </x:si>
  <x:si>
    <x:t xml:space="preserve">Publicar carrosséis na ordem indicada. Reels com capa e legendas. Hashtags propostas são um conjunto inicial, sem promessa de alcance. Manter o link do perfil atualizado depois de validar o site.</x:t>
  </x:si>
  <x:si>
    <x:t xml:space="preserve">Facebook</x:t>
  </x:si>
  <x:si>
    <x:t xml:space="preserve">Reels podem reaproveitar o arquivo vertical. Carrosséis devem virar publicações com várias imagens numeradas, com a ideia central também na legenda. Conferir a ordem na prévia. Nos Stories, se um recurso interativo não estiver disponível, transformar em pergunta para resposta por mensagem.</x:t>
  </x:si>
  <x:si>
    <x:t xml:space="preserve">LinkedIn</x:t>
  </x:si>
  <x:si>
    <x:t xml:space="preserve">Canal de decisão: sócios, coordenadores BIM e gestores de obra. Não é canal de produção, é repost: o carrossel de segunda vira documento PDF nativo (1080 × 1350 px, mesmas páginas), o Reel vai como vídeo nativo e o estático vai como imagem. Legenda própria na aba Roteiros, sem @ do Instagram e com até 4 hashtags. Publicar no perfil da empresa e compartilhar no perfil pessoal do fundador para alcance orgânico. Tempo estimado: 5 a 10 minutos por semana.</x:t>
  </x:si>
  <x:si>
    <x:t xml:space="preserve">TikTok</x:t>
  </x:si>
  <x:si>
    <x:t xml:space="preserve">Canal de alcance: republicar o Reel de quarta sem alteração, com a descrição curta da aba Roteiros. Não produzir nada exclusivo na base; conteúdo nativo do TikTok (tendências, bastidores) entra apenas pela reunião semanal. Manter legendas embutidas no vídeo, pois a maioria assiste sem som.</x:t>
  </x:si>
  <x:si>
    <x:t xml:space="preserve">YouTube Shorts</x:t>
  </x:si>
  <x:si>
    <x:t xml:space="preserve">Republicar o mesmo Reel vertical como Short, com título igual ao título da arte e a descrição TikTok / Shorts. Serve para alimentar o canal principal com frequência enquanto os vídeos longos são produzidos.</x:t>
  </x:si>
  <x:si>
    <x:t xml:space="preserve">YouTube (canal educacional)</x:t>
  </x:si>
  <x:si>
    <x:t xml:space="preserve">Pilar educacional de longo prazo, fora da base de 360 dias: vídeos de 8 a 15 minutos aprofundando o tema de cada mês editorial (12 vídeos/ano, um por mês). Os quatro Reels do mês servem de roteiro e material bruto. Definir tema, gravação e publicação na reunião semanal; publicar ao fim de cada mês editorial. É o canal onde o produto pode aparecer com mais profundidade e onde o conteúdo continua sendo encontrado por busca depois de publicado.</x:t>
  </x:si>
  <x:si>
    <x:t xml:space="preserve">Fluxo de distribuição</x:t>
  </x:si>
  <x:si>
    <x:t xml:space="preserve">Produzir uma vez para o Instagram (1080 × 1350 feed, 1080 × 1920 vídeo). Redistribuir na mesma semana: Facebook (espelho automático), LinkedIn (PDF ou vídeo nativo), TikTok e YouTube Shorts (Reel sem alteração). Converter no WhatsApp. Ordem de prioridade se faltar tempo: Instagram, LinkedIn, TikTok, Shorts, Facebook.</x:t>
  </x:si>
  <x:si>
    <x:t xml:space="preserve">Cadência do feed</x:t>
  </x:si>
  <x:si>
    <x:t xml:space="preserve">Segunda e sexta às 12h, quarta às 18h30 e sábado às 10h. Total de 206 pautas base: 102 carrosséis, 52 Reels e 52 estáticos. Cada pauta possui legenda para Instagram e Facebook. Horários de Brasília (America/Sao_Paulo, UTC−3), propostos para teste.</x:t>
  </x:si>
  <x:si>
    <x:t xml:space="preserve">Cadência de Stories</x:t>
  </x:si>
  <x:si>
    <x:t xml:space="preserve">Três quadros por dia de segunda a sexta: 9h, 13h e 19h. Total de 258 sequências e 774 quadros base, para adaptar às duas redes. Sábado e domingo sem Stories obrigatórios. Feriados não recebem exceção automática nesta proposta.</x:t>
  </x:si>
  <x:si>
    <x:t xml:space="preserve">Semana 1</x:t>
  </x:si>
  <x:si>
    <x:t xml:space="preserve">Apresentar a marca e ensinar o básico. Destacar P01 e P03 no perfil depois de publicados, se o recurso estiver disponível.</x:t>
  </x:si>
  <x:si>
    <x:t xml:space="preserve">Semana 2</x:t>
  </x:si>
  <x:si>
    <x:t xml:space="preserve">Tratar dificuldades de revisão, mostrar um exemplo prático e oferecer um checklist.</x:t>
  </x:si>
  <x:si>
    <x:t xml:space="preserve">Semana 3</x:t>
  </x:si>
  <x:si>
    <x:t xml:space="preserve">Explicar critérios de alternativas, registro de cenários e troca de informações.</x:t>
  </x:si>
  <x:si>
    <x:t xml:space="preserve">Semana 4</x:t>
  </x:si>
  <x:si>
    <x:t xml:space="preserve">Trazer o tema para a rotina do público, responder uma dúvida e convidar à conversa. P16 pode compor o conjunto de publicações em destaque.</x:t>
  </x:si>
  <x:si>
    <x:t xml:space="preserve">Produção em lote</x:t>
  </x:si>
  <x:si>
    <x:t xml:space="preserve">Uso de telas reais</x:t>
  </x:si>
  <x:si>
    <x:t xml:space="preserve">P06 e P10 mantêm o status Falta gravar e suas alternativas didáticas. Os exemplos posteriores podem ser produzidos em cartões, desenhos ou modelos autorizados. Para exibir a Arxis como demonstração, confirmar o recurso e gravar o fluxo vigente na data de produção.</x:t>
  </x:si>
  <x:si>
    <x:t xml:space="preserve">Representação do produto</x:t>
  </x:si>
  <x:si>
    <x:t xml:space="preserve">Imagens de arquitetura fornecidas são referências visuais. Não apresentá-las como obras de clientes ou como resultado exportado pelo software. Telas conceituais devem ser identificadas como ilustração. Não anunciar comparação automática, custos, IA, 4D/5D, integrações ou compatibilidade sem confirmação.</x:t>
  </x:si>
  <x:si>
    <x:t xml:space="preserve">Conversas comerciais</x:t>
  </x:si>
  <x:si>
    <x:t xml:space="preserve">Responder a mensagens com uma pergunta sobre área de atuação, tipo de projeto e dificuldade principal. Usar PROJETO, MODELO e CENÁRIO apenas para organizar a entrada das conversas. Registrar um mesmo contato uma vez ao contar oportunidades.</x:t>
  </x:si>
  <x:si>
    <x:t xml:space="preserve">Programação das publicações</x:t>
  </x:si>
  <x:si>
    <x:t xml:space="preserve">Revisão após duas semanas</x:t>
  </x:si>
  <x:si>
    <x:t xml:space="preserve">Primeira revisão em 28/09/2026. Depois, comparar mensalmente cada rede e formato. Observar alcance, salvamentos, compartilhamentos, respostas e mensagens com contexto. Nos vídeos, observar tempo assistido e retenção quando disponíveis. Escolher um ajuste por vez.</x:t>
  </x:si>
  <x:si>
    <x:t xml:space="preserve">Ajuste do segundo ciclo</x:t>
  </x:si>
  <x:si>
    <x:t xml:space="preserve">Revisar as pautas antes de iniciar cada mês editorial. Usar perguntas reais e evidências disponíveis para selecionar exemplos. Se faltarem dados para comparar horários, manter o teste sem declarar um vencedor. Encerramento do plano em 08/09/2027, com revisão do próximo ciclo.</x:t>
  </x:si>
  <x:si>
    <x:t xml:space="preserve">Critério de conversa qualificada</x:t>
  </x:si>
  <x:si>
    <x:t xml:space="preserve">Contato que informa área ou função, contexto do projeto e uma necessidade concreta. Curtidas e novos seguidores ajudam a acompanhar a presença, mas não substituem esse registro. Nenhuma meta numérica foi inventada.</x:t>
  </x:si>
  <x:si>
    <x:t xml:space="preserve">Fonte da identidade</x:t>
  </x:si>
  <x:si>
    <x:t xml:space="preserve">Dados e sete imagens enviados nesta conversa em 11/09/2026. Paleta e tipografia lidas do quadro de identidade visual. Os dados textuais atuais prevalecem sobre contatos ilustrativos das imagens.</x:t>
  </x:si>
  <x:si>
    <x:t xml:space="preserve">Fonte técnica: BIM</x:t>
  </x:si>
  <x:si>
    <x:t xml:space="preserve">https://www.autodesk.com/solutions/aec/bim</x:t>
  </x:si>
  <x:si>
    <x:t xml:space="preserve">Fonte técnica: openBIM</x:t>
  </x:si>
  <x:si>
    <x:t xml:space="preserve">https://www.buildingsmart.org/about/openbim/</x:t>
  </x:si>
  <x:si>
    <x:t xml:space="preserve">Fonte de operação: Meta</x:t>
  </x:si>
  <x:si>
    <x:t xml:space="preserve">https://www.facebook.com/metaforbusiness/posts/learn-how-you-can-use-meta-business-suite-to-create-schedule-and-manage-your-con/1236721411828895/</x:t>
  </x:si>
  <x:si>
    <x:t xml:space="preserve">Consulta das referências</x:t>
  </x:si>
  <x:si>
    <x:t xml:space="preserve">11/09/2026. Autodesk apoia a definição educativa de BIM. buildingSMART apoia os conceitos de openBIM, IFC e BCF. A referência Meta descreve criação, programação e acompanhamento de conteúdo. Revalidar detalhes de plataformas e do produto durante a produção mensal.</x:t>
  </x:si>
  <x:si>
    <x:t xml:space="preserve">Mês editorial 1</x:t>
  </x:si>
  <x:si>
    <x:t xml:space="preserve">14/09/2026 a 13/10/2026. Marca e fundamentos de BIM.</x:t>
  </x:si>
  <x:si>
    <x:t xml:space="preserve">Mês editorial 2</x:t>
  </x:si>
  <x:si>
    <x:t xml:space="preserve">14/10/2026 a 13/11/2026. Leitura do modelo e controle de versões.</x:t>
  </x:si>
  <x:si>
    <x:t xml:space="preserve">Mês editorial 3</x:t>
  </x:si>
  <x:si>
    <x:t xml:space="preserve">14/11/2026 a 13/12/2026. Pendências, prioridades e organização de arquivos.</x:t>
  </x:si>
  <x:si>
    <x:t xml:space="preserve">Mês editorial 4</x:t>
  </x:si>
  <x:si>
    <x:t xml:space="preserve">14/12/2026 a 13/01/2027. Decisões, responsabilidades e primeiras alternativas.</x:t>
  </x:si>
  <x:si>
    <x:t xml:space="preserve">Mês editorial 5</x:t>
  </x:si>
  <x:si>
    <x:t xml:space="preserve">14/01/2027 a 13/02/2027. Cenários, premissas e requisitos de informação.</x:t>
  </x:si>
  <x:si>
    <x:t xml:space="preserve">Mês editorial 6</x:t>
  </x:si>
  <x:si>
    <x:t xml:space="preserve">14/02/2027 a 13/03/2027. Qualidade dos dados e introdução à interoperabilidade.</x:t>
  </x:si>
  <x:si>
    <x:t xml:space="preserve">Mês editorial 7</x:t>
  </x:si>
  <x:si>
    <x:t xml:space="preserve">14/03/2027 a 13/04/2027. Troca de modelos e preparação da execução.</x:t>
  </x:si>
  <x:si>
    <x:t xml:space="preserve">Mês editorial 8</x:t>
  </x:si>
  <x:si>
    <x:t xml:space="preserve">14/04/2027 a 13/05/2027. Interfaces, quantidades e comunicação visual.</x:t>
  </x:si>
  <x:si>
    <x:t xml:space="preserve">Mês editorial 9</x:t>
  </x:si>
  <x:si>
    <x:t xml:space="preserve">14/05/2027 a 13/06/2027. Colaboração, campo e primeiros pilotos.</x:t>
  </x:si>
  <x:si>
    <x:t xml:space="preserve">Mês editorial 10</x:t>
  </x:si>
  <x:si>
    <x:t xml:space="preserve">14/06/2027 a 13/07/2027. Avaliação de ferramentas e preparação da entrega.</x:t>
  </x:si>
  <x:si>
    <x:t xml:space="preserve">Mês editorial 11</x:t>
  </x:si>
  <x:si>
    <x:t xml:space="preserve">14/07/2027 a 13/08/2027. Operação, aprendizados e evidências.</x:t>
  </x:si>
  <x:si>
    <x:t xml:space="preserve">Mês editorial 12</x:t>
  </x:si>
  <x:si>
    <x:t xml:space="preserve">14/08/2027 a 08/09/2027. Perguntas recorrentes, revisão e próximos avanços.</x:t>
  </x:si>
  <x:si>
    <x:t xml:space="preserve">Lógica semanal</x:t>
  </x:si>
  <x:si>
    <x:t xml:space="preserve">Segunda: conceito e contexto. Quarta: exemplo em vídeo. Sexta: checklist de aplicação. Sábado: pergunta à comunidade ou conversa comercial. Os formatos aprofundam o assunto da semana por ângulos diferentes. Manter a sequência semanal quando ela atravessar a virada do mês.</x:t>
  </x:si>
  <x:si>
    <x:t xml:space="preserve">Datas sem publicação</x:t>
  </x:si>
  <x:si>
    <x:t xml:space="preserve">Terças e quintas têm apenas Stories. Sábados têm feed. Domingos ficam sem publicação obrigatória. A última semana termina na quarta-feira, 08/09/2027, para respeitar exatamente os 360 dias solicitados.</x:t>
  </x:si>
  <x:si>
    <x:t xml:space="preserve">Revisão de sazonalidade</x:t>
  </x:si>
  <x:si>
    <x:t xml:space="preserve">Não foram inventadas datas comemorativas, eventos, promoções ou lançamentos. Se surgir uma pauta real, substituir um conteúdo da semana e manter o histórico da alteração no controle de publicação.</x:t>
  </x:si>
  <x:si>
    <x:t xml:space="preserve">Exemplos e evidências</x:t>
  </x:si>
  <x:si>
    <x:t xml:space="preserve">Os modelos, números e casos descritos como ilustrativos são materiais didáticos. Só usar a expressão caso de cliente, depoimento ou resultado da Arxis quando houver material real e autorização de uso.</x:t>
  </x:si>
  <x:si>
    <x:t xml:space="preserve">Fonte técnica: IFC</x:t>
  </x:si>
  <x:si>
    <x:t xml:space="preserve">https://www.buildingsmart.org/standards/bsi-standards/industry-foundation-classes/</x:t>
  </x:si>
  <x:si>
    <x:t xml:space="preserve">Fonte técnica: BCF</x:t>
  </x:si>
  <x:si>
    <x:t xml:space="preserve">https://www.buildingsmart.org/standards/bsi-standards/bim-collaboration-format/</x:t>
  </x:si>
</x:sst>
</file>

<file path=xl/styles.xml><?xml version="1.0" encoding="utf-8"?>
<x:styleSheet xmlns:x="http://schemas.openxmlformats.org/spreadsheetml/2006/main">
  <x:numFmts count="5">
    <x:numFmt numFmtId="164" formatCode="General"/>
    <x:numFmt numFmtId="165" formatCode="General"/>
    <x:numFmt numFmtId="166" formatCode="dd/mm/yyyy"/>
    <x:numFmt numFmtId="167" formatCode="hh:mm"/>
    <x:numFmt numFmtId="168" formatCode="0"/>
  </x:numFmts>
  <x:fonts count="15">
    <x:font>
      <x:sz val="10"/>
      <x:name val="Arial"/>
    </x:font>
    <x:font>
      <x:sz val="10"/>
      <x:name val="Arial"/>
    </x:font>
    <x:font>
      <x:sz val="10"/>
      <x:name val="Arial"/>
    </x:font>
    <x:font>
      <x:sz val="10"/>
      <x:name val="Arial"/>
    </x:font>
    <x:font>
      <x:sz val="11"/>
      <x:name val="Calibri"/>
    </x:font>
    <x:font>
      <x:sz val="11"/>
      <x:color rgb="FF1E2D3D"/>
      <x:name val="Arial"/>
    </x:font>
    <x:font>
      <x:b/>
      <x:sz val="17"/>
      <x:color rgb="FF1E2D3D"/>
      <x:name val="Arial"/>
    </x:font>
    <x:font>
      <x:sz val="11"/>
      <x:color rgb="FF4B5563"/>
      <x:name val="Arial"/>
    </x:font>
    <x:font>
      <x:b/>
      <x:sz val="14"/>
      <x:color rgb="FF0E6B8F"/>
      <x:name val="Arial"/>
    </x:font>
    <x:font>
      <x:b/>
      <x:sz val="11"/>
      <x:color rgb="FFFFFFFF"/>
      <x:name val="Arial"/>
    </x:font>
    <x:font>
      <x:b/>
      <x:sz val="11"/>
      <x:color rgb="FF0E6B8F"/>
      <x:name val="Arial"/>
    </x:font>
    <x:font>
      <x:sz val="11"/>
      <x:color rgb="FF9CA3AF"/>
      <x:name val="Arial"/>
    </x:font>
    <x:font>
      <x:b/>
      <x:sz val="11"/>
      <x:color rgb="FF1E2D3D"/>
      <x:name val="Arial"/>
    </x:font>
    <x:font>
      <x:b/>
      <x:sz val="22"/>
      <x:color rgb="FF1E2D3D"/>
      <x:name val="Arial"/>
    </x:font>
    <x:font>
      <x:sz val="10"/>
      <x:color rgb="FF4B5563"/>
      <x:name val="Arial"/>
    </x:font>
  </x:fonts>
  <x:fills count="16">
    <x:fill>
      <x:patternFill patternType="none"/>
    </x:fill>
    <x:fill>
      <x:patternFill patternType="gray125"/>
    </x:fill>
    <x:fill>
      <x:patternFill patternType="solid">
        <x:fgColor rgb="FFFFFFFF"/>
      </x:patternFill>
    </x:fill>
    <x:fill>
      <x:patternFill patternType="solid">
        <x:fgColor rgb="FF1E2D3D"/>
      </x:patternFill>
    </x:fill>
    <x:fill>
      <x:patternFill patternType="solid">
        <x:fgColor rgb="FFFFF2DD"/>
      </x:patternFill>
    </x:fill>
    <x:fill>
      <x:patternFill patternType="solid">
        <x:fgColor rgb="FFF5F8FA"/>
      </x:patternFill>
    </x:fill>
    <x:fill>
      <x:patternFill patternType="solid">
        <x:fgColor rgb="FFE5F0F5"/>
      </x:patternFill>
    </x:fill>
    <x:fill>
      <x:patternFill patternType="solid">
        <x:fgColor rgb="FF0E6B8F"/>
      </x:patternFill>
    </x:fill>
    <x:fill>
      <x:patternFill patternType="solid">
        <x:fgColor rgb="FFF36B21"/>
      </x:patternFill>
    </x:fill>
    <x:fill>
      <x:patternFill patternType="solid">
        <x:fgColor rgb="FFE5E7EB"/>
      </x:patternFill>
    </x:fill>
    <x:fill>
      <x:patternFill patternType="solid">
        <x:fgColor rgb="FF4B5563"/>
      </x:patternFill>
    </x:fill>
    <x:fill>
      <x:patternFill patternType="solid">
        <x:fgColor rgb="FF1E2D3D"/>
      </x:patternFill>
    </x:fill>
    <x:fill>
      <x:patternFill patternType="solid">
        <x:fgColor rgb="FFFFF3DE"/>
      </x:patternFill>
    </x:fill>
    <x:fill>
      <x:patternFill patternType="solid">
        <x:fgColor rgb="FFFFFFFF"/>
      </x:patternFill>
    </x:fill>
    <x:fill>
      <x:patternFill patternType="solid">
        <x:fgColor rgb="FFF5F8FA"/>
      </x:patternFill>
    </x:fill>
    <x:fill>
      <x:patternFill patternType="solid">
        <x:fgColor rgb="FFF36B21"/>
      </x:patternFill>
    </x:fill>
  </x:fills>
  <x:borders count="10">
    <x:border diagonalUp="0" diagonalDown="0"/>
    <x:border diagonalUp="0" diagonalDown="0">
      <x:bottom style="thin">
        <x:color rgb="FFF36B21"/>
      </x:bottom>
    </x:border>
    <x:border diagonalUp="0" diagonalDown="0">
      <x:right style="thin">
        <x:color rgb="FFFFFFFF"/>
      </x:right>
    </x:border>
    <x:border diagonalUp="0" diagonalDown="0">
      <x:left style="thin">
        <x:color rgb="FFFFFFFF"/>
      </x:left>
      <x:right style="thin">
        <x:color rgb="FFFFFFFF"/>
      </x:right>
    </x:border>
    <x:border diagonalUp="0" diagonalDown="0">
      <x:left style="thin">
        <x:color rgb="FFFFFFFF"/>
      </x:left>
    </x:border>
    <x:border diagonalUp="0" diagonalDown="0">
      <x:top style="medium">
        <x:color rgb="FF0E6B8F"/>
      </x:top>
    </x:border>
    <x:border diagonalUp="0" diagonalDown="0">
      <x:top style="thin">
        <x:color rgb="FF0E6B8F"/>
      </x:top>
    </x:border>
    <x:border diagonalUp="0" diagonalDown="0">
      <x:bottom style="thin">
        <x:color rgb="FFD8E4EA"/>
      </x:bottom>
    </x:border>
    <x:border diagonalUp="0" diagonalDown="0">
      <x:top style="thin">
        <x:color rgb="FFD8E4EA"/>
      </x:top>
      <x:bottom style="thin">
        <x:color rgb="FFD8E4EA"/>
      </x:bottom>
    </x:border>
    <x:border diagonalUp="0" diagonalDown="0">
      <x:top style="thin">
        <x:color rgb="FFD8E4EA"/>
      </x:top>
    </x:border>
  </x:borders>
  <x:cellStyleXfs count="21">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0" borderId="0" applyFont="1" applyBorder="1" applyAlignment="1" applyProtection="1">
      <x:alignment horizontal="general" vertical="bottom" wrapText="0" shrinkToFit="0"/>
      <x:protection locked="1" hidden="0"/>
    </x:xf>
  </x:cellStyleXfs>
  <x:cellXfs count="95">
    <x:xf numFmtId="164" fontId="0" fillId="0" borderId="0" xfId="0" applyFont="0" applyBorder="0" applyAlignment="0">
      <x:alignment horizontal="general" vertical="bottom" wrapText="0"/>
    </x:xf>
    <x:xf numFmtId="164" fontId="5" fillId="2" borderId="0" xfId="20" applyFont="1" applyBorder="0" applyAlignment="1">
      <x:alignment horizontal="general" vertical="center" wrapText="0"/>
    </x:xf>
    <x:xf numFmtId="164" fontId="6" fillId="2" borderId="0" xfId="20" applyFont="1" applyBorder="0" applyAlignment="1">
      <x:alignment horizontal="general" vertical="center" wrapText="0"/>
    </x:xf>
    <x:xf numFmtId="164" fontId="7" fillId="2" borderId="0" xfId="20" applyFont="1" applyBorder="0" applyAlignment="1">
      <x:alignment horizontal="general" vertical="center" wrapText="0"/>
    </x:xf>
    <x:xf numFmtId="164" fontId="5" fillId="2" borderId="1" xfId="20" applyFont="1" applyBorder="1" applyAlignment="1">
      <x:alignment horizontal="general" vertical="center" wrapText="0"/>
    </x:xf>
    <x:xf numFmtId="165" fontId="8" fillId="2" borderId="0" xfId="20" applyFont="1" applyBorder="0" applyAlignment="1">
      <x:alignment horizontal="general" vertical="center" wrapText="0"/>
    </x:xf>
    <x:xf numFmtId="164" fontId="9" fillId="3" borderId="2" xfId="20" applyFont="1" applyBorder="1" applyAlignment="1">
      <x:alignment horizontal="center" vertical="center" wrapText="1"/>
    </x:xf>
    <x:xf numFmtId="164" fontId="9" fillId="3" borderId="3" xfId="20" applyFont="1" applyBorder="1" applyAlignment="1">
      <x:alignment horizontal="center" vertical="center" wrapText="1"/>
    </x:xf>
    <x:xf numFmtId="164" fontId="9" fillId="3" borderId="4" xfId="20" applyFont="1" applyBorder="1" applyAlignment="1">
      <x:alignment horizontal="center" vertical="center" wrapText="1"/>
    </x:xf>
    <x:xf numFmtId="164" fontId="10" fillId="2" borderId="0" xfId="20" applyFont="1" applyBorder="0" applyAlignment="1">
      <x:alignment horizontal="general" vertical="center" wrapText="1"/>
    </x:xf>
    <x:xf numFmtId="166" fontId="5" fillId="2" borderId="0" xfId="20" applyFont="1" applyBorder="0" applyAlignment="1">
      <x:alignment horizontal="center" vertical="center" wrapText="1"/>
    </x:xf>
    <x:xf numFmtId="164" fontId="5" fillId="2" borderId="0" xfId="20" applyFont="1" applyBorder="0" applyAlignment="1">
      <x:alignment horizontal="center" vertical="center" wrapText="1"/>
    </x:xf>
    <x:xf numFmtId="167" fontId="5" fillId="2" borderId="0" xfId="20" applyFont="1" applyBorder="0" applyAlignment="1">
      <x:alignment horizontal="center" vertical="center" wrapText="1"/>
    </x:xf>
    <x:xf numFmtId="164" fontId="5" fillId="2" borderId="0" xfId="20" applyFont="1" applyBorder="0" applyAlignment="1">
      <x:alignment horizontal="general" vertical="center" wrapText="1"/>
    </x:xf>
    <x:xf numFmtId="164" fontId="11" fillId="2" borderId="0" xfId="20" applyFont="1" applyBorder="0" applyAlignment="1">
      <x:alignment horizontal="general" vertical="center" wrapText="1"/>
    </x:xf>
    <x:xf numFmtId="164" fontId="5" fillId="4" borderId="0" xfId="20" applyFont="1" applyBorder="0" applyAlignment="1">
      <x:alignment horizontal="general" vertical="center" wrapText="1"/>
    </x:xf>
    <x:xf numFmtId="164" fontId="10" fillId="5" borderId="0" xfId="20" applyFont="1" applyBorder="0" applyAlignment="1">
      <x:alignment horizontal="general" vertical="center" wrapText="1"/>
    </x:xf>
    <x:xf numFmtId="166" fontId="5" fillId="5" borderId="0" xfId="20" applyFont="1" applyBorder="0" applyAlignment="1">
      <x:alignment horizontal="center" vertical="center" wrapText="1"/>
    </x:xf>
    <x:xf numFmtId="164" fontId="5" fillId="5" borderId="0" xfId="20" applyFont="1" applyBorder="0" applyAlignment="1">
      <x:alignment horizontal="center" vertical="center" wrapText="1"/>
    </x:xf>
    <x:xf numFmtId="167" fontId="5" fillId="5" borderId="0" xfId="20" applyFont="1" applyBorder="0" applyAlignment="1">
      <x:alignment horizontal="center" vertical="center" wrapText="1"/>
    </x:xf>
    <x:xf numFmtId="164" fontId="5" fillId="5" borderId="0" xfId="20" applyFont="1" applyBorder="0" applyAlignment="1">
      <x:alignment horizontal="general" vertical="center" wrapText="1"/>
    </x:xf>
    <x:xf numFmtId="164" fontId="11" fillId="5" borderId="0" xfId="20" applyFont="1" applyBorder="0" applyAlignment="1">
      <x:alignment horizontal="general" vertical="center" wrapText="1"/>
    </x:xf>
    <x:xf numFmtId="164" fontId="10" fillId="2" borderId="5" xfId="20" applyFont="1" applyBorder="1" applyAlignment="1">
      <x:alignment horizontal="general" vertical="center" wrapText="1"/>
    </x:xf>
    <x:xf numFmtId="166" fontId="5" fillId="2" borderId="5" xfId="20" applyFont="1" applyBorder="1" applyAlignment="1">
      <x:alignment horizontal="center" vertical="center" wrapText="1"/>
    </x:xf>
    <x:xf numFmtId="164" fontId="5" fillId="2" borderId="5" xfId="20" applyFont="1" applyBorder="1" applyAlignment="1">
      <x:alignment horizontal="center" vertical="center" wrapText="1"/>
    </x:xf>
    <x:xf numFmtId="167" fontId="5" fillId="2" borderId="5" xfId="20" applyFont="1" applyBorder="1" applyAlignment="1">
      <x:alignment horizontal="center" vertical="center" wrapText="1"/>
    </x:xf>
    <x:xf numFmtId="164" fontId="5" fillId="2" borderId="5" xfId="20" applyFont="1" applyBorder="1" applyAlignment="1">
      <x:alignment horizontal="general" vertical="center" wrapText="1"/>
    </x:xf>
    <x:xf numFmtId="164" fontId="11" fillId="2" borderId="5" xfId="20" applyFont="1" applyBorder="1" applyAlignment="1">
      <x:alignment horizontal="general" vertical="center" wrapText="1"/>
    </x:xf>
    <x:xf numFmtId="164" fontId="5" fillId="4" borderId="5" xfId="20" applyFont="1" applyBorder="1" applyAlignment="1">
      <x:alignment horizontal="general" vertical="center" wrapText="1"/>
    </x:xf>
    <x:xf numFmtId="164" fontId="7" fillId="0" borderId="0" xfId="20" applyFont="1" applyBorder="0" applyAlignment="0">
      <x:alignment horizontal="general" vertical="bottom" wrapText="0"/>
    </x:xf>
    <x:xf numFmtId="164" fontId="12" fillId="6" borderId="6" xfId="20" applyFont="1" applyBorder="1" applyAlignment="1">
      <x:alignment horizontal="general" vertical="top" wrapText="1"/>
    </x:xf>
    <x:xf numFmtId="164" fontId="5" fillId="5" borderId="0" xfId="20" applyFont="1" applyBorder="0" applyAlignment="1">
      <x:alignment horizontal="general" vertical="top" wrapText="1"/>
    </x:xf>
    <x:xf numFmtId="164" fontId="5" fillId="2" borderId="0" xfId="20" applyFont="1" applyBorder="0" applyAlignment="1">
      <x:alignment horizontal="general" vertical="top" wrapText="1"/>
    </x:xf>
    <x:xf numFmtId="168" fontId="5" fillId="2" borderId="0" xfId="20" applyFont="1" applyBorder="0" applyAlignment="1">
      <x:alignment horizontal="center" vertical="center" wrapText="1"/>
    </x:xf>
    <x:xf numFmtId="168" fontId="5" fillId="5" borderId="0" xfId="20" applyFont="1" applyBorder="0" applyAlignment="1">
      <x:alignment horizontal="center" vertical="center" wrapText="1"/>
    </x:xf>
    <x:xf numFmtId="166" fontId="5" fillId="5" borderId="5" xfId="20" applyFont="1" applyBorder="1" applyAlignment="1">
      <x:alignment horizontal="center" vertical="center" wrapText="1"/>
    </x:xf>
    <x:xf numFmtId="164" fontId="5" fillId="5" borderId="5" xfId="20" applyFont="1" applyBorder="1" applyAlignment="1">
      <x:alignment horizontal="general" vertical="center" wrapText="1"/>
    </x:xf>
    <x:xf numFmtId="168" fontId="5" fillId="5" borderId="5" xfId="20" applyFont="1" applyBorder="1" applyAlignment="1">
      <x:alignment horizontal="center" vertical="center" wrapText="1"/>
    </x:xf>
    <x:xf numFmtId="168" fontId="5" fillId="2" borderId="5" xfId="20" applyFont="1" applyBorder="1" applyAlignment="1">
      <x:alignment horizontal="center" vertical="center" wrapText="1"/>
    </x:xf>
    <x:xf numFmtId="164" fontId="9" fillId="7" borderId="0" xfId="20" applyFont="1" applyBorder="0" applyAlignment="1">
      <x:alignment horizontal="general" vertical="center" wrapText="1"/>
    </x:xf>
    <x:xf numFmtId="164" fontId="9" fillId="3" borderId="0" xfId="20" applyFont="1" applyBorder="0" applyAlignment="1">
      <x:alignment horizontal="general" vertical="center" wrapText="1"/>
    </x:xf>
    <x:xf numFmtId="164" fontId="12" fillId="8" borderId="0" xfId="20" applyFont="1" applyBorder="0" applyAlignment="1">
      <x:alignment horizontal="general" vertical="center" wrapText="1"/>
    </x:xf>
    <x:xf numFmtId="164" fontId="12" fillId="9" borderId="0" xfId="20" applyFont="1" applyBorder="0" applyAlignment="1">
      <x:alignment horizontal="general" vertical="center" wrapText="1"/>
    </x:xf>
    <x:xf numFmtId="164" fontId="9" fillId="10" borderId="0" xfId="20" applyFont="1" applyBorder="0" applyAlignment="1">
      <x:alignment horizontal="general" vertical="center" wrapText="1"/>
    </x:xf>
    <x:xf numFmtId="164" fontId="9" fillId="11" borderId="4" xfId="0" applyNumberFormat="1" applyFont="1" applyFill="1" applyBorder="1" applyAlignment="1">
      <x:alignment horizontal="center" vertical="center" wrapText="1"/>
    </x:xf>
    <x:xf numFmtId="164" fontId="5" fillId="11" borderId="0" xfId="0" applyNumberFormat="1" applyFont="1" applyFill="1" applyBorder="1" applyAlignment="1">
      <x:alignment horizontal="general" vertical="center" wrapText="0"/>
    </x:xf>
    <x:xf numFmtId="164" fontId="9" fillId="11" borderId="0" xfId="0" applyNumberFormat="1" applyFont="1" applyFill="1" applyBorder="1" applyAlignment="1">
      <x:alignment horizontal="general" vertical="center" wrapText="0"/>
    </x:xf>
    <x:xf numFmtId="164" fontId="9" fillId="11" borderId="0" xfId="0" applyNumberFormat="1" applyFont="1" applyFill="1" applyBorder="1" applyAlignment="1">
      <x:alignment horizontal="general" vertical="center" wrapText="1"/>
    </x:xf>
    <x:xf numFmtId="164" fontId="5" fillId="12" borderId="0" xfId="0" applyNumberFormat="1" applyFont="1" applyFill="1" applyBorder="1" applyAlignment="1">
      <x:alignment horizontal="general" vertical="center" wrapText="0"/>
    </x:xf>
    <x:xf numFmtId="164" fontId="0" fillId="12" borderId="0" xfId="0" applyNumberFormat="1" applyFont="1" applyFill="1" applyBorder="1" applyAlignment="1">
      <x:alignment horizontal="general" vertical="bottom" wrapText="0"/>
    </x:xf>
    <x:xf numFmtId="164" fontId="5" fillId="12" borderId="0" xfId="0" applyNumberFormat="1" applyFont="1" applyFill="1" applyBorder="1" applyAlignment="1">
      <x:alignment horizontal="general" vertical="bottom" wrapText="0"/>
    </x:xf>
    <x:xf numFmtId="164" fontId="5" fillId="12" borderId="0" xfId="0" applyNumberFormat="1" applyFont="1" applyFill="1" applyBorder="1" applyAlignment="1">
      <x:alignment horizontal="general" vertical="center" wrapText="1"/>
    </x:xf>
    <x:xf numFmtId="164" fontId="5" fillId="12" borderId="0" xfId="0" applyNumberFormat="1" applyFont="1" applyFill="1" applyBorder="1" applyAlignment="1">
      <x:alignment horizontal="general" vertical="bottom" wrapText="1"/>
    </x:xf>
    <x:xf numFmtId="164" fontId="5" fillId="13" borderId="0" xfId="0" applyNumberFormat="1" applyFont="1" applyFill="1" applyBorder="1" applyAlignment="1">
      <x:alignment horizontal="general" vertical="center" wrapText="1"/>
    </x:xf>
    <x:xf numFmtId="164" fontId="5" fillId="13" borderId="5" xfId="0" applyNumberFormat="1" applyFont="1" applyFill="1" applyBorder="1" applyAlignment="1">
      <x:alignment horizontal="general" vertical="center" wrapText="1"/>
    </x:xf>
    <x:xf numFmtId="164" fontId="5" fillId="14" borderId="0" xfId="0" applyNumberFormat="1" applyFont="1" applyFill="1" applyBorder="1" applyAlignment="1">
      <x:alignment horizontal="general" vertical="center" wrapText="1"/>
    </x:xf>
    <x:xf numFmtId="164" fontId="5" fillId="15" borderId="1" xfId="0" applyNumberFormat="1" applyFont="1" applyFill="1" applyBorder="1" applyAlignment="1">
      <x:alignment horizontal="general" vertical="center" wrapText="0"/>
    </x:xf>
    <x:xf numFmtId="164" fontId="0" fillId="15" borderId="0" xfId="0" applyNumberFormat="1" applyFont="1" applyFill="1" applyBorder="1" applyAlignment="1">
      <x:alignment horizontal="general" vertical="bottom" wrapText="0"/>
    </x:xf>
    <x:xf numFmtId="164" fontId="5" fillId="15" borderId="0" xfId="0" applyNumberFormat="1" applyFont="1" applyFill="1" applyBorder="1" applyAlignment="1">
      <x:alignment horizontal="general" vertical="center" wrapText="0"/>
    </x:xf>
    <x:xf numFmtId="164" fontId="0" fillId="13" borderId="0" xfId="0" applyNumberFormat="1" applyFont="1" applyFill="1" applyBorder="1" applyAlignment="1">
      <x:alignment horizontal="general" vertical="bottom" wrapText="0"/>
    </x:xf>
    <x:xf numFmtId="164" fontId="5" fillId="13" borderId="0" xfId="0" applyNumberFormat="1" applyFont="1" applyFill="1" applyBorder="1" applyAlignment="1">
      <x:alignment horizontal="general" vertical="bottom" wrapText="0"/>
    </x:xf>
    <x:xf numFmtId="164" fontId="5" fillId="13" borderId="0" xfId="0" applyNumberFormat="1" applyFont="1" applyFill="1" applyBorder="1" applyAlignment="1">
      <x:alignment horizontal="general" vertical="center" wrapText="0"/>
    </x:xf>
    <x:xf numFmtId="164" fontId="13" fillId="13" borderId="0" xfId="0" applyNumberFormat="1" applyFont="1" applyFill="1" applyBorder="1" applyAlignment="1">
      <x:alignment horizontal="general" vertical="center" wrapText="0"/>
    </x:xf>
    <x:xf numFmtId="164" fontId="7" fillId="13" borderId="0" xfId="0" applyNumberFormat="1" applyFont="1" applyFill="1" applyBorder="1" applyAlignment="1">
      <x:alignment horizontal="general" vertical="center" wrapText="0"/>
    </x:xf>
    <x:xf numFmtId="164" fontId="7" fillId="13" borderId="0" xfId="0" applyNumberFormat="1" applyFont="1" applyFill="1" applyBorder="1" applyAlignment="1">
      <x:alignment horizontal="general" vertical="center" wrapText="1"/>
    </x:xf>
    <x:xf numFmtId="164" fontId="5" fillId="13" borderId="7" xfId="0" applyNumberFormat="1" applyFont="1" applyFill="1" applyBorder="1" applyAlignment="1">
      <x:alignment horizontal="general" vertical="center" wrapText="0"/>
    </x:xf>
    <x:xf numFmtId="164" fontId="5" fillId="13" borderId="8" xfId="0" applyNumberFormat="1" applyFont="1" applyFill="1" applyBorder="1" applyAlignment="1">
      <x:alignment horizontal="general" vertical="center" wrapText="0"/>
    </x:xf>
    <x:xf numFmtId="164" fontId="5" fillId="13" borderId="9" xfId="0" applyNumberFormat="1" applyFont="1" applyFill="1" applyBorder="1" applyAlignment="1">
      <x:alignment horizontal="general" vertical="center" wrapText="0"/>
    </x:xf>
    <x:xf numFmtId="164" fontId="5" fillId="13" borderId="7" xfId="0" applyNumberFormat="1" applyFont="1" applyFill="1" applyBorder="1" applyAlignment="1">
      <x:alignment horizontal="general" vertical="center" wrapText="1"/>
    </x:xf>
    <x:xf numFmtId="164" fontId="5" fillId="13" borderId="8" xfId="0" applyNumberFormat="1" applyFont="1" applyFill="1" applyBorder="1" applyAlignment="1">
      <x:alignment horizontal="general" vertical="center" wrapText="1"/>
    </x:xf>
    <x:xf numFmtId="164" fontId="5" fillId="13" borderId="9" xfId="0" applyNumberFormat="1" applyFont="1" applyFill="1" applyBorder="1" applyAlignment="1">
      <x:alignment horizontal="general" vertical="center" wrapText="1"/>
    </x:xf>
    <x:xf numFmtId="164" fontId="10" fillId="13" borderId="7" xfId="0" applyNumberFormat="1" applyFont="1" applyFill="1" applyBorder="1" applyAlignment="1">
      <x:alignment horizontal="general" vertical="center" wrapText="1"/>
    </x:xf>
    <x:xf numFmtId="164" fontId="10" fillId="13" borderId="8" xfId="0" applyNumberFormat="1" applyFont="1" applyFill="1" applyBorder="1" applyAlignment="1">
      <x:alignment horizontal="general" vertical="center" wrapText="1"/>
    </x:xf>
    <x:xf numFmtId="164" fontId="10" fillId="13" borderId="9" xfId="0" applyNumberFormat="1" applyFont="1" applyFill="1" applyBorder="1" applyAlignment="1">
      <x:alignment horizontal="general" vertical="center" wrapText="1"/>
    </x:xf>
    <x:xf numFmtId="164" fontId="5" fillId="12" borderId="7" xfId="0" applyNumberFormat="1" applyFont="1" applyFill="1" applyBorder="1" applyAlignment="1">
      <x:alignment horizontal="general" vertical="center" wrapText="1"/>
    </x:xf>
    <x:xf numFmtId="164" fontId="5" fillId="12" borderId="8" xfId="0" applyNumberFormat="1" applyFont="1" applyFill="1" applyBorder="1" applyAlignment="1">
      <x:alignment horizontal="general" vertical="center" wrapText="1"/>
    </x:xf>
    <x:xf numFmtId="164" fontId="5" fillId="12" borderId="9" xfId="0" applyNumberFormat="1" applyFont="1" applyFill="1" applyBorder="1" applyAlignment="1">
      <x:alignment horizontal="general" vertical="center" wrapText="1"/>
    </x:xf>
    <x:xf numFmtId="164" fontId="7" fillId="13" borderId="7" xfId="0" applyNumberFormat="1" applyFont="1" applyFill="1" applyBorder="1" applyAlignment="1">
      <x:alignment horizontal="general" vertical="center" wrapText="1"/>
    </x:xf>
    <x:xf numFmtId="164" fontId="7" fillId="13" borderId="8" xfId="0" applyNumberFormat="1" applyFont="1" applyFill="1" applyBorder="1" applyAlignment="1">
      <x:alignment horizontal="general" vertical="center" wrapText="1"/>
    </x:xf>
    <x:xf numFmtId="164" fontId="7" fillId="13" borderId="9" xfId="0" applyNumberFormat="1" applyFont="1" applyFill="1" applyBorder="1" applyAlignment="1">
      <x:alignment horizontal="general" vertical="center" wrapText="1"/>
    </x:xf>
    <x:xf numFmtId="164" fontId="5" fillId="14" borderId="7" xfId="0" applyNumberFormat="1" applyFont="1" applyFill="1" applyBorder="1" applyAlignment="1">
      <x:alignment horizontal="general" vertical="center" wrapText="1"/>
    </x:xf>
    <x:xf numFmtId="164" fontId="5" fillId="14" borderId="8" xfId="0" applyNumberFormat="1" applyFont="1" applyFill="1" applyBorder="1" applyAlignment="1">
      <x:alignment horizontal="general" vertical="center" wrapText="1"/>
    </x:xf>
    <x:xf numFmtId="164" fontId="5" fillId="14" borderId="9" xfId="0" applyNumberFormat="1" applyFont="1" applyFill="1" applyBorder="1" applyAlignment="1">
      <x:alignment horizontal="general" vertical="center" wrapText="1"/>
    </x:xf>
    <x:xf numFmtId="164" fontId="10" fillId="14" borderId="7" xfId="0" applyNumberFormat="1" applyFont="1" applyFill="1" applyBorder="1" applyAlignment="1">
      <x:alignment horizontal="general" vertical="center" wrapText="1"/>
    </x:xf>
    <x:xf numFmtId="164" fontId="10" fillId="14" borderId="8" xfId="0" applyNumberFormat="1" applyFont="1" applyFill="1" applyBorder="1" applyAlignment="1">
      <x:alignment horizontal="general" vertical="center" wrapText="1"/>
    </x:xf>
    <x:xf numFmtId="164" fontId="10" fillId="14" borderId="9" xfId="0" applyNumberFormat="1" applyFont="1" applyFill="1" applyBorder="1" applyAlignment="1">
      <x:alignment horizontal="general" vertical="center" wrapText="1"/>
    </x:xf>
    <x:xf numFmtId="164" fontId="10" fillId="14" borderId="7" xfId="0" applyNumberFormat="1" applyFont="1" applyFill="1" applyBorder="1" applyAlignment="1">
      <x:alignment horizontal="center" vertical="center" wrapText="1"/>
    </x:xf>
    <x:xf numFmtId="164" fontId="10" fillId="14" borderId="8" xfId="0" applyNumberFormat="1" applyFont="1" applyFill="1" applyBorder="1" applyAlignment="1">
      <x:alignment horizontal="center" vertical="center" wrapText="1"/>
    </x:xf>
    <x:xf numFmtId="164" fontId="10" fillId="14" borderId="9" xfId="0" applyNumberFormat="1" applyFont="1" applyFill="1" applyBorder="1" applyAlignment="1">
      <x:alignment horizontal="center" vertical="center" wrapText="1"/>
    </x:xf>
    <x:xf numFmtId="166" fontId="5" fillId="13" borderId="7" xfId="0" applyNumberFormat="1" applyFont="1" applyFill="1" applyBorder="1" applyAlignment="1">
      <x:alignment horizontal="general" vertical="center" wrapText="1"/>
    </x:xf>
    <x:xf numFmtId="166" fontId="5" fillId="13" borderId="8" xfId="0" applyNumberFormat="1" applyFont="1" applyFill="1" applyBorder="1" applyAlignment="1">
      <x:alignment horizontal="general" vertical="center" wrapText="1"/>
    </x:xf>
    <x:xf numFmtId="166" fontId="5" fillId="13" borderId="9" xfId="0" applyNumberFormat="1" applyFont="1" applyFill="1" applyBorder="1" applyAlignment="1">
      <x:alignment horizontal="general" vertical="center" wrapText="1"/>
    </x:xf>
    <x:xf numFmtId="164" fontId="14" fillId="13" borderId="0" xfId="0" applyNumberFormat="1" applyFont="1" applyFill="1" applyBorder="1" applyAlignment="1">
      <x:alignment horizontal="general" vertical="center" wrapText="0"/>
    </x:xf>
    <x:xf numFmtId="164" fontId="14" fillId="13" borderId="0" xfId="0" applyNumberFormat="1" applyFont="1" applyFill="1" applyBorder="1" applyAlignment="1">
      <x:alignment horizontal="general" vertical="center" wrapText="1"/>
    </x:xf>
    <x:xf numFmtId="164" fontId="5" fillId="13" borderId="0" xfId="0" applyNumberFormat="1" applyFont="1" applyFill="1" applyBorder="1" applyAlignment="1">
      <x:alignment horizontal="general" vertical="bottom" wrapText="1"/>
    </x:xf>
  </x:cellXfs>
  <x:cellStyles count="7">
    <x:cellStyle name="Normal" xfId="0"/>
    <x:cellStyle name="Comma" xfId="15"/>
    <x:cellStyle name="Comma [0]" xfId="16"/>
    <x:cellStyle name="Currency" xfId="17"/>
    <x:cellStyle name="Currency [0]" xfId="18"/>
    <x:cellStyle name="Percent" xfId="19"/>
    <x:cellStyle name="Normal" xfId="20"/>
  </x:cellStyles>
  <x:dxfs count="30">
    <x:dxf>
      <x:fill>
        <x:patternFill>
          <x:bgColor rgb="FF1E2D3D"/>
        </x:patternFill>
      </x:fill>
    </x:dxf>
    <x:dxf>
      <x:fill>
        <x:patternFill>
          <x:bgColor rgb="FFF5F8FA"/>
        </x:patternFill>
      </x:fill>
    </x:dxf>
    <x:dxf>
      <x:fill>
        <x:patternFill>
          <x:bgColor rgb="FFFFFFFF"/>
        </x:patternFill>
      </x:fill>
    </x:dxf>
    <x:dxf>
      <x:fill>
        <x:patternFill>
          <x:bgColor rgb="FF0E6B8F"/>
        </x:patternFill>
      </x:fill>
    </x:dxf>
    <x:dxf>
      <x:fill>
        <x:patternFill>
          <x:bgColor rgb="FFFFF2DD"/>
        </x:patternFill>
      </x:fill>
    </x:dxf>
    <x:dxf>
      <x:fill>
        <x:patternFill>
          <x:bgColor rgb="FF825013"/>
        </x:patternFill>
      </x:fill>
    </x:dxf>
    <x:dxf>
      <x:font>
        <x:b/>
        <x:color rgb="FF825013"/>
      </x:font>
      <x:fill>
        <x:patternFill>
          <x:bgColor rgb="FFFFF2DD"/>
        </x:patternFill>
      </x:fill>
    </x:dxf>
    <x:dxf>
      <x:font>
        <x:color rgb="FF235D43"/>
      </x:font>
      <x:fill>
        <x:patternFill>
          <x:bgColor rgb="FFE3F0EA"/>
        </x:patternFill>
      </x:fill>
    </x:dxf>
    <x:dxf>
      <x:font>
        <x:color rgb="FF0E6B8F"/>
      </x:font>
      <x:fill>
        <x:patternFill>
          <x:bgColor rgb="FFE3EFF6"/>
        </x:patternFill>
      </x:fill>
    </x:dxf>
    <x:dxf>
      <x:font>
        <x:b/>
        <x:color rgb="FF825013"/>
      </x:font>
      <x:fill>
        <x:patternFill>
          <x:bgColor rgb="FFFFF2DD"/>
        </x:patternFill>
      </x:fill>
    </x:dxf>
    <x:dxf>
      <x:font>
        <x:color rgb="FF235D43"/>
      </x:font>
      <x:fill>
        <x:patternFill>
          <x:bgColor rgb="FFE3F0EA"/>
        </x:patternFill>
      </x:fill>
    </x:dxf>
    <x:dxf>
      <x:font>
        <x:color rgb="FF0E6B8F"/>
      </x:font>
      <x:fill>
        <x:patternFill>
          <x:bgColor rgb="FFE3EFF6"/>
        </x:patternFill>
      </x:fill>
    </x:dxf>
    <x:dxf>
      <x:fill>
        <x:patternFill>
          <x:bgColor rgb="FFE5F0F5"/>
        </x:patternFill>
      </x:fill>
    </x:dxf>
    <x:dxf>
      <x:fill>
        <x:patternFill>
          <x:bgColor rgb="FF4B5563"/>
        </x:patternFill>
      </x:fill>
    </x:dxf>
    <x:dxf>
      <x:fill>
        <x:patternFill>
          <x:bgColor rgb="FFE5E7EB"/>
        </x:patternFill>
      </x:fill>
    </x:dxf>
    <x:dxf>
      <x:fill>
        <x:patternFill>
          <x:bgColor rgb="FFF36B21"/>
        </x:patternFill>
      </x:fill>
    </x:dxf>
    <x:dxf>
      <x:font>
        <x:color rgb="FF8A5200"/>
      </x:font>
      <x:fill>
        <x:patternFill patternType="solid">
          <x:bgColor rgb="FFFFF3DE"/>
        </x:patternFill>
      </x:fill>
    </x:dxf>
    <x:dxf>
      <x:font>
        <x:color rgb="FF21623E"/>
      </x:font>
      <x:fill>
        <x:patternFill patternType="solid">
          <x:bgColor rgb="FFE3F1E9"/>
        </x:patternFill>
      </x:fill>
    </x:dxf>
    <x:dxf>
      <x:font>
        <x:color rgb="FF275C8C"/>
      </x:font>
      <x:fill>
        <x:patternFill patternType="solid">
          <x:bgColor rgb="FFE4EFF9"/>
        </x:patternFill>
      </x:fill>
    </x:dxf>
    <x:dxf>
      <x:font>
        <x:color rgb="FF8A5200"/>
      </x:font>
      <x:fill>
        <x:patternFill patternType="solid">
          <x:bgColor rgb="FFFFF3DE"/>
        </x:patternFill>
      </x:fill>
    </x:dxf>
    <x:dxf>
      <x:font>
        <x:color rgb="FF21623E"/>
      </x:font>
      <x:fill>
        <x:patternFill patternType="solid">
          <x:bgColor rgb="FFE3F1E9"/>
        </x:patternFill>
      </x:fill>
    </x:dxf>
    <x:dxf>
      <x:font>
        <x:color rgb="FF275C8C"/>
      </x:font>
      <x:fill>
        <x:patternFill patternType="solid">
          <x:bgColor rgb="FFE4EFF9"/>
        </x:patternFill>
      </x:fill>
    </x:dxf>
    <x:dxf>
      <x:font>
        <x:color rgb="FF929DAC"/>
      </x:font>
    </x:dxf>
    <x:dxf>
      <x:font>
        <x:b/>
        <x:color rgb="FF21623E"/>
      </x:font>
      <x:fill>
        <x:patternFill patternType="solid">
          <x:bgColor rgb="FFE3F1E9"/>
        </x:patternFill>
      </x:fill>
    </x:dxf>
    <x:dxf>
      <x:font>
        <x:b/>
        <x:color rgb="FF21623E"/>
      </x:font>
      <x:fill>
        <x:patternFill patternType="solid">
          <x:bgColor rgb="FFE3F1E9"/>
        </x:patternFill>
      </x:fill>
    </x:dxf>
    <x:dxf>
      <x:font>
        <x:b/>
        <x:color rgb="FF21623E"/>
      </x:font>
      <x:fill>
        <x:patternFill patternType="solid">
          <x:bgColor rgb="FFE3F1E9"/>
        </x:patternFill>
      </x:fill>
    </x:dxf>
    <x:dxf>
      <x:font>
        <x:b/>
        <x:color rgb="FF21623E"/>
      </x:font>
      <x:fill>
        <x:patternFill patternType="solid">
          <x:bgColor rgb="FFE3F1E9"/>
        </x:patternFill>
      </x:fill>
    </x:dxf>
    <x:dxf>
      <x:font>
        <x:color rgb="FF697480"/>
      </x:font>
      <x:fill>
        <x:patternFill patternType="solid">
          <x:bgColor rgb="FFF0F2F5"/>
        </x:patternFill>
      </x:fill>
    </x:dxf>
    <x:dxf>
      <x:font>
        <x:b/>
        <x:color rgb="FF943F22"/>
      </x:font>
      <x:fill>
        <x:patternFill patternType="solid">
          <x:bgColor rgb="FFFDE6DD"/>
        </x:patternFill>
      </x:fill>
    </x:dxf>
    <x:dxf>
      <x:font>
        <x:b/>
        <x:color rgb="FF21623E"/>
      </x:font>
      <x:fill>
        <x:patternFill patternType="solid">
          <x:bgColor rgb="FFE3F1E9"/>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E6B8F"/>
      <x:rgbColor rgb="FFC0C0C0"/>
      <x:rgbColor rgb="FF808080"/>
      <x:rgbColor rgb="FF9999FF"/>
      <x:rgbColor rgb="FF993366"/>
      <x:rgbColor rgb="FFFFF2DD"/>
      <x:rgbColor rgb="FFE3EFF6"/>
      <x:rgbColor rgb="FF660066"/>
      <x:rgbColor rgb="FFFF8080"/>
      <x:rgbColor rgb="FF0066CC"/>
      <x:rgbColor rgb="FFE5E7EB"/>
      <x:rgbColor rgb="FF000080"/>
      <x:rgbColor rgb="FFFF00FF"/>
      <x:rgbColor rgb="FFFFFF00"/>
      <x:rgbColor rgb="FF00FFFF"/>
      <x:rgbColor rgb="FF800080"/>
      <x:rgbColor rgb="FF800000"/>
      <x:rgbColor rgb="FF235D43"/>
      <x:rgbColor rgb="FF0000FF"/>
      <x:rgbColor rgb="FF00CCFF"/>
      <x:rgbColor rgb="FFE5F0F5"/>
      <x:rgbColor rgb="FFE3F0EA"/>
      <x:rgbColor rgb="FFF5F8FA"/>
      <x:rgbColor rgb="FF99CCFF"/>
      <x:rgbColor rgb="FFFF99CC"/>
      <x:rgbColor rgb="FFCC99FF"/>
      <x:rgbColor rgb="FFFFCC99"/>
      <x:rgbColor rgb="FF3366FF"/>
      <x:rgbColor rgb="FF33CCCC"/>
      <x:rgbColor rgb="FF99CC00"/>
      <x:rgbColor rgb="FFFFCC00"/>
      <x:rgbColor rgb="FFFF9900"/>
      <x:rgbColor rgb="FFF36B21"/>
      <x:rgbColor rgb="FF4B5563"/>
      <x:rgbColor rgb="FF9CA3AF"/>
      <x:rgbColor rgb="FF003366"/>
      <x:rgbColor rgb="FF339966"/>
      <x:rgbColor rgb="FF003300"/>
      <x:rgbColor rgb="FF333300"/>
      <x:rgbColor rgb="FF825013"/>
      <x:rgbColor rgb="FF993366"/>
      <x:rgbColor rgb="FF333399"/>
      <x:rgbColor rgb="FF1E2D3D"/>
    </x:indexedColors>
  </x:colors>
</x:styleSheet>
</file>

<file path=xl/_rels/workbook.xml.rels>&#65279;<?xml version="1.0" encoding="utf-8"?><Relationships xmlns="http://schemas.openxmlformats.org/package/2006/relationships"><Relationship Type="http://schemas.openxmlformats.org/officeDocument/2006/relationships/styles" Target="/xl/styles.xml" Id="R0c05dd69b12e4b2a" /><Relationship Type="http://schemas.openxmlformats.org/officeDocument/2006/relationships/theme" Target="/xl/theme/theme1.xml" Id="R1886345618b944ab" /><Relationship Type="http://schemas.openxmlformats.org/officeDocument/2006/relationships/sharedStrings" Target="/xl/sharedStrings.xml" Id="Rbb2c999978124537" /><Relationship Type="http://schemas.openxmlformats.org/officeDocument/2006/relationships/worksheet" Target="/xl/worksheets/sheet1.xml" Id="R10a70906c21c44c7" /><Relationship Type="http://schemas.openxmlformats.org/officeDocument/2006/relationships/worksheet" Target="/xl/worksheets/sheet2.xml" Id="R63ec3cf410f04b58" /><Relationship Type="http://schemas.openxmlformats.org/officeDocument/2006/relationships/worksheet" Target="/xl/worksheets/sheet3.xml" Id="R16afa381e06d4a4d" /><Relationship Type="http://schemas.openxmlformats.org/officeDocument/2006/relationships/worksheet" Target="/xl/worksheets/sheet4.xml" Id="Rd3cea3725ee546df" /><Relationship Type="http://schemas.openxmlformats.org/officeDocument/2006/relationships/worksheet" Target="/xl/worksheets/sheet5.xml" Id="Rf31d510b151f4704" /></Relationships>
</file>

<file path=xl/tables/table1.xml><?xml version="1.0" encoding="utf-8"?>
<x:table xmlns:x="http://schemas.openxmlformats.org/spreadsheetml/2006/main" id="5" name="CalendarioArxis" displayName="CalendarioArxis" ref="B8:P214" headerRowCount="1" totalsRowCount="0" totalsRowShown="0">
  <x:autoFilter ref="B8:P214"/>
  <x:tableColumns count="15">
    <x:tableColumn id="1" name="ID"/>
    <x:tableColumn id="2" name="Data"/>
    <x:tableColumn id="3" name="Dia"/>
    <x:tableColumn id="4" name="Hora"/>
    <x:tableColumn id="5" name="Formato"/>
    <x:tableColumn id="6" name="Tema"/>
    <x:tableColumn id="7" name="Objetivo"/>
    <x:tableColumn id="8" name="Chamada para ação"/>
    <x:tableColumn id="9" name="Status Instagram"/>
    <x:tableColumn id="10" name="Status Facebook"/>
    <x:tableColumn id="11" name="Distribuição"/>
    <x:tableColumn id="12" name="Status LinkedIn"/>
    <x:tableColumn id="13" name="Status TikTok"/>
    <x:tableColumn id="14" name="Status YouTube Shorts"/>
    <x:tableColumn id="15" name="Responsável"/>
  </x:tableColumns>
  <x:tableStyleInfo name="TableStyleMedium2" showFirstColumn="0" showLastColumn="0" showRowStripes="1" showColumnStripes="0"/>
</x:table>
</file>

<file path=xl/tables/table2.xml><?xml version="1.0" encoding="utf-8"?>
<x:table xmlns:x="http://schemas.openxmlformats.org/spreadsheetml/2006/main" id="6" name="RoteirosArxis" displayName="RoteirosArxis" ref="B8:D1502" headerRowCount="1" totalsRowCount="0" totalsRowShown="0">
  <x:autoFilter ref="B8:D1502"/>
  <x:tableColumns count="3">
    <x:tableColumn id="1" name="ID"/>
    <x:tableColumn id="2" name="Bloco"/>
    <x:tableColumn id="3" name="Conteúdo"/>
  </x:tableColumns>
  <x:tableStyleInfo name="TableStyleMedium2" showFirstColumn="0" showLastColumn="0" showRowStripes="1" showColumnStripes="0"/>
</x:table>
</file>

<file path=xl/tables/table3.xml><?xml version="1.0" encoding="utf-8"?>
<x:table xmlns:x="http://schemas.openxmlformats.org/spreadsheetml/2006/main" id="4" name="StoriesArxis" displayName="StoriesArxis" ref="B8:G266" headerRowCount="1" totalsRowCount="0" totalsRowShown="0">
  <x:autoFilter ref="B8:G266"/>
  <x:tableColumns count="6">
    <x:tableColumn id="1" name="Data"/>
    <x:tableColumn id="2" name="Tema"/>
    <x:tableColumn id="3" name="9h · Pergunta ou abertura"/>
    <x:tableColumn id="4" name="13h · Explicação ou exemplo"/>
    <x:tableColumn id="5" name="19h · Ação ou continuação"/>
    <x:tableColumn id="6" name="Quadros"/>
  </x:tableColumns>
</x:table>
</file>

<file path=xl/tables/table4.xml><?xml version="1.0" encoding="utf-8"?>
<x:table xmlns:x="http://schemas.openxmlformats.org/spreadsheetml/2006/main" id="8" name="DirecaoArxis" displayName="DirecaoArxis" ref="B8:C80" headerRowCount="1" totalsRowCount="0" totalsRowShown="0">
  <x:autoFilter ref="B8:C80"/>
  <x:tableColumns count="2">
    <x:tableColumn id="1" name="Item"/>
    <x:tableColumn id="2" name="Orientação"/>
  </x:tableColumns>
  <x:tableStyleInfo name="TableStyleMedium2" showFirstColumn="0" showLastColumn="0" showRowStripes="1" showColumnStripes="0"/>
</x:table>
</file>

<file path=xl/tables/table5.xml><?xml version="1.0" encoding="utf-8"?>
<x:table xmlns:x="http://schemas.openxmlformats.org/spreadsheetml/2006/main" id="7" name="ProducaoMensalArxis" displayName="ProducaoMensalArxis" ref="B8:O214" headerRowCount="1" totalsRowCount="0" totalsRowShown="0">
  <x:autoFilter ref="B8:O214"/>
  <x:tableColumns count="14">
    <x:tableColumn id="1" name="Mês"/>
    <x:tableColumn id="2" name="ID"/>
    <x:tableColumn id="3" name="Data prevista"/>
    <x:tableColumn id="4" name="Formato"/>
    <x:tableColumn id="5" name="Tema"/>
    <x:tableColumn id="6" name="Responsável"/>
    <x:tableColumn id="7" name="Arte e capa"/>
    <x:tableColumn id="8" name="Vídeo"/>
    <x:tableColumn id="9" name="Revisão"/>
    <x:tableColumn id="10" name="Aprovação"/>
    <x:tableColumn id="11" name="Agendamento"/>
    <x:tableColumn id="12" name="Publicação"/>
    <x:tableColumn id="13" name="Link dos arquivos"/>
    <x:tableColumn id="14" name="Observaçõ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df3ceb0407e4357" /></Relationships>
</file>

<file path=xl/worksheets/_rels/sheet2.xml.rels>&#65279;<?xml version="1.0" encoding="utf-8"?><Relationships xmlns="http://schemas.openxmlformats.org/package/2006/relationships"><Relationship Type="http://schemas.openxmlformats.org/officeDocument/2006/relationships/table" Target="/xl/tables/table2.xml" Id="R697b54a5a8894d56" /></Relationships>
</file>

<file path=xl/worksheets/_rels/sheet3.xml.rels>&#65279;<?xml version="1.0" encoding="utf-8"?><Relationships xmlns="http://schemas.openxmlformats.org/package/2006/relationships"><Relationship Type="http://schemas.openxmlformats.org/officeDocument/2006/relationships/table" Target="/xl/tables/table3.xml" Id="R07e5147c62054d7d" /></Relationships>
</file>

<file path=xl/worksheets/_rels/sheet4.xml.rels>&#65279;<?xml version="1.0" encoding="utf-8"?><Relationships xmlns="http://schemas.openxmlformats.org/package/2006/relationships"><Relationship Type="http://schemas.openxmlformats.org/officeDocument/2006/relationships/table" Target="/xl/tables/table4.xml" Id="Ra232b343a16d4fec" /></Relationships>
</file>

<file path=xl/worksheets/_rels/sheet5.xml.rels>&#65279;<?xml version="1.0" encoding="utf-8"?><Relationships xmlns="http://schemas.openxmlformats.org/package/2006/relationships"><Relationship Type="http://schemas.openxmlformats.org/officeDocument/2006/relationships/table" Target="/xl/tables/table5.xml" Id="R4d003cbd1237465a" /></Relationships>
</file>

<file path=xl/worksheets/sheet1.xml><?xml version="1.0" encoding="utf-8"?>
<x:worksheet xmlns:x="http://schemas.openxmlformats.org/spreadsheetml/2006/main">
  <x:sheetPr>
    <x:tabColor rgb="FF1E2D3D"/>
  </x:sheetPr>
  <x:sheetViews>
    <x:sheetView showGridLines="0" workbookViewId="0">
      <x:pane xSplit="3" ySplit="8" topLeftCell="D9" activePane="bottomRight" state="frozen"/>
    </x:sheetView>
  </x:sheetViews>
  <x:sheetFormatPr defaultColWidth="8.6796875" defaultRowHeight="15"/>
  <x:cols>
    <x:col min="1" max="1" width="2.890000104904175" hidden="0" customWidth="1"/>
    <x:col min="2" max="2" width="7.110000133514404" hidden="0" customWidth="1"/>
    <x:col min="3" max="3" width="11.670000076293945" hidden="0" customWidth="1"/>
    <x:col min="4" max="4" width="6.670000076293945" hidden="0" customWidth="1"/>
    <x:col min="5" max="5" width="8.4399995803833" hidden="0" customWidth="1"/>
    <x:col min="6" max="6" width="11.779999732971191" hidden="0" customWidth="1"/>
    <x:col min="7" max="7" width="36.66999816894531" hidden="0" customWidth="1"/>
    <x:col min="8" max="8" width="22.780000686645508" hidden="0" customWidth="1"/>
    <x:col min="9" max="9" width="24.440000534057617" hidden="0" customWidth="1"/>
    <x:col min="10" max="11" width="14.4399995803833" hidden="0" customWidth="1"/>
    <x:col min="12" max="12" width="30" hidden="0" customWidth="1"/>
    <x:col min="13" max="13" width="15" hidden="0" customWidth="1"/>
    <x:col min="14" max="14" width="16.8799991607666" hidden="0" customWidth="1"/>
    <x:col min="15" max="15" width="18.5" hidden="0" customWidth="1"/>
    <x:col min="16" max="16" width="17.5" hidden="0" customWidth="1"/>
    <x:col min="17" max="17" width="3" hidden="0" customWidth="1"/>
  </x:cols>
  <x:sheetData>
    <x:row r="1" ht="15" hidden="0" customHeight="1">
      <x:c r="A1" s="1"/>
      <x:c r="B1" s="1"/>
      <x:c r="C1" s="1"/>
      <x:c r="D1" s="1"/>
      <x:c r="E1" s="1"/>
      <x:c r="F1" s="1"/>
      <x:c r="G1" s="1"/>
      <x:c r="H1" s="1"/>
      <x:c r="I1" s="1"/>
      <x:c r="J1" s="1"/>
      <x:c r="K1" s="1"/>
      <x:c r="O1" s="1"/>
      <x:c r="P1" s="1"/>
    </x:row>
    <x:row r="2" ht="24.75" hidden="0" customHeight="1">
      <x:c r="A2" s="1"/>
      <x:c r="B2" s="2" t="s">
        <x:v>0</x:v>
      </x:c>
      <x:c r="C2" s="1"/>
      <x:c r="D2" s="1"/>
      <x:c r="E2" s="1"/>
      <x:c r="F2" s="1"/>
      <x:c r="G2" s="1"/>
      <x:c r="H2" s="1"/>
      <x:c r="I2" s="1"/>
      <x:c r="J2" s="1"/>
      <x:c r="K2" s="1"/>
      <x:c r="O2" s="1"/>
      <x:c r="P2" s="1"/>
    </x:row>
    <x:row r="3" ht="19.5" hidden="0" customHeight="1">
      <x:c r="A3" s="1"/>
      <x:c r="B3" s="3" t="s">
        <x:v>1</x:v>
      </x:c>
      <x:c r="C3" s="1"/>
      <x:c r="D3" s="1"/>
      <x:c r="E3" s="1"/>
      <x:c r="F3" s="1"/>
      <x:c r="G3" s="1"/>
      <x:c r="H3" s="1"/>
      <x:c r="I3" s="1"/>
      <x:c r="J3" s="1"/>
      <x:c r="K3" s="1"/>
      <x:c r="O3" s="1"/>
      <x:c r="P3" s="1"/>
    </x:row>
    <x:row r="4" ht="15" hidden="0">
      <x:c r="A4" s="1"/>
      <x:c r="B4" s="56"/>
      <x:c r="C4" s="56"/>
      <x:c r="D4" s="56"/>
      <x:c r="E4" s="56"/>
      <x:c r="F4" s="56"/>
      <x:c r="G4" s="56"/>
      <x:c r="H4" s="56"/>
      <x:c r="I4" s="56"/>
      <x:c r="J4" s="56"/>
      <x:c r="K4" s="56"/>
      <x:c r="L4" s="57"/>
      <x:c r="M4" s="57"/>
      <x:c r="N4" s="57"/>
      <x:c r="O4" s="56"/>
      <x:c r="P4" s="58"/>
    </x:row>
    <x:row r="5" ht="15" hidden="0">
      <x:c r="A5" s="1"/>
      <x:c r="B5" s="1"/>
      <x:c r="C5" s="1"/>
      <x:c r="D5" s="1"/>
      <x:c r="E5" s="1"/>
      <x:c r="F5" s="1"/>
      <x:c r="G5" s="1"/>
      <x:c r="H5" s="1"/>
      <x:c r="I5" s="1"/>
      <x:c r="J5" s="1"/>
      <x:c r="K5" s="1"/>
      <x:c r="O5" s="1"/>
      <x:c r="P5" s="1"/>
    </x:row>
    <x:row r="6" ht="21" hidden="0" customHeight="1">
      <x:c r="A6" s="1"/>
      <x:c r="B6" s="1" t="s">
        <x:v>2</x:v>
      </x:c>
      <x:c r="C6" s="5" t="n">
        <x:f aca="0">COUNTA(B9:B214)</x:f>
        <x:v>206</x:v>
      </x:c>
      <x:c r="D6" s="1"/>
      <x:c r="E6" s="1" t="s">
        <x:v>3</x:v>
      </x:c>
      <x:c r="F6" s="5" t="n">
        <x:f aca="0">COUNTIFS(F9:F214,"Reel")</x:f>
        <x:v>52</x:v>
      </x:c>
      <x:c r="G6" s="1"/>
      <x:c r="H6" s="1" t="s">
        <x:v>4</x:v>
      </x:c>
      <x:c r="I6" s="5" t="n">
        <x:f aca="0">SUM(Stories!G9:G266)</x:f>
        <x:v>774</x:v>
      </x:c>
      <x:c r="J6" s="1"/>
      <x:c r="K6" s="1"/>
      <x:c r="O6" s="1"/>
      <x:c r="P6" s="1"/>
    </x:row>
    <x:row r="7" ht="15" hidden="0">
      <x:c r="A7" s="1"/>
      <x:c r="B7" s="1"/>
      <x:c r="C7" s="1"/>
      <x:c r="D7" s="1"/>
      <x:c r="E7" s="1"/>
      <x:c r="F7" s="1"/>
      <x:c r="G7" s="1"/>
      <x:c r="H7" s="1"/>
      <x:c r="I7" s="1"/>
      <x:c r="J7" s="1"/>
      <x:c r="K7" s="1"/>
      <x:c r="O7" s="1"/>
      <x:c r="P7" s="1"/>
    </x:row>
    <x:row r="8" ht="30" hidden="0" customHeight="1">
      <x:c r="A8" s="1"/>
      <x:c r="B8" s="6" t="s">
        <x:v>5</x:v>
      </x:c>
      <x:c r="C8" s="7" t="s">
        <x:v>6</x:v>
      </x:c>
      <x:c r="D8" s="7" t="s">
        <x:v>7</x:v>
      </x:c>
      <x:c r="E8" s="7" t="s">
        <x:v>8</x:v>
      </x:c>
      <x:c r="F8" s="7" t="s">
        <x:v>9</x:v>
      </x:c>
      <x:c r="G8" s="7" t="s">
        <x:v>10</x:v>
      </x:c>
      <x:c r="H8" s="7" t="s">
        <x:v>11</x:v>
      </x:c>
      <x:c r="I8" s="7" t="s">
        <x:v>12</x:v>
      </x:c>
      <x:c r="J8" s="7" t="s">
        <x:v>13</x:v>
      </x:c>
      <x:c r="K8" s="7" t="s">
        <x:v>14</x:v>
      </x:c>
      <x:c r="L8" s="7" t="s">
        <x:v>15</x:v>
      </x:c>
      <x:c r="M8" s="7" t="s">
        <x:v>16</x:v>
      </x:c>
      <x:c r="N8" s="7" t="str">
        <x:v>Status TikTok</x:v>
      </x:c>
      <x:c r="O8" s="44" t="str">
        <x:v>Status YouTube Shorts</x:v>
      </x:c>
      <x:c r="P8" s="47" t="s">
        <x:v>17</x:v>
      </x:c>
    </x:row>
    <x:row r="9" ht="57" hidden="0" customHeight="1">
      <x:c r="A9" s="1"/>
      <x:c r="B9" s="9" t="s">
        <x:v>18</x:v>
      </x:c>
      <x:c r="C9" s="10" t="n">
        <x:v>46279.5</x:v>
      </x:c>
      <x:c r="D9" s="11" t="s">
        <x:v>19</x:v>
      </x:c>
      <x:c r="E9" s="12" t="n">
        <x:v>0.5</x:v>
      </x:c>
      <x:c r="F9" s="11" t="s">
        <x:v>20</x:v>
      </x:c>
      <x:c r="G9" s="13" t="s">
        <x:v>21</x:v>
      </x:c>
      <x:c r="H9" s="13" t="s">
        <x:v>22</x:v>
      </x:c>
      <x:c r="I9" s="13" t="s">
        <x:v>23</x:v>
      </x:c>
      <x:c r="J9" s="13" t="str">
        <x:v>Planejada</x:v>
      </x:c>
      <x:c r="K9" s="13" t="str">
        <x:v>Planejada</x:v>
      </x:c>
      <x:c r="L9" s="13" t="s">
        <x:v>24</x:v>
      </x:c>
      <x:c r="M9" s="13" t="str">
        <x:v>Planejada</x:v>
      </x:c>
      <x:c r="N9" s="14" t="str">
        <x:v>Não se aplica</x:v>
      </x:c>
      <x:c r="O9" s="53" t="str">
        <x:v>Não se aplica</x:v>
      </x:c>
      <x:c r="P9" s="51"/>
    </x:row>
    <x:row r="10" ht="57" hidden="0" customHeight="1">
      <x:c r="A10" s="1"/>
      <x:c r="B10" s="16" t="s">
        <x:v>25</x:v>
      </x:c>
      <x:c r="C10" s="17" t="n">
        <x:v>46281.5</x:v>
      </x:c>
      <x:c r="D10" s="18" t="s">
        <x:v>26</x:v>
      </x:c>
      <x:c r="E10" s="19" t="n">
        <x:v>0.770833333333333</x:v>
      </x:c>
      <x:c r="F10" s="18" t="s">
        <x:v>27</x:v>
      </x:c>
      <x:c r="G10" s="20" t="s">
        <x:v>28</x:v>
      </x:c>
      <x:c r="H10" s="20" t="s">
        <x:v>29</x:v>
      </x:c>
      <x:c r="I10" s="20" t="s">
        <x:v>30</x:v>
      </x:c>
      <x:c r="J10" s="20" t="str">
        <x:v>Planejada</x:v>
      </x:c>
      <x:c r="K10" s="20" t="str">
        <x:v>Planejada</x:v>
      </x:c>
      <x:c r="L10" s="20" t="s">
        <x:v>31</x:v>
      </x:c>
      <x:c r="M10" s="20" t="str">
        <x:v>Planejada</x:v>
      </x:c>
      <x:c r="N10" s="20" t="str">
        <x:v>Planejada</x:v>
      </x:c>
      <x:c r="O10" s="55" t="str">
        <x:v>Planejada</x:v>
      </x:c>
      <x:c r="P10" s="51"/>
    </x:row>
    <x:row r="11" ht="57" hidden="0" customHeight="1">
      <x:c r="A11" s="1"/>
      <x:c r="B11" s="9" t="s">
        <x:v>32</x:v>
      </x:c>
      <x:c r="C11" s="10" t="n">
        <x:v>46283.5</x:v>
      </x:c>
      <x:c r="D11" s="11" t="s">
        <x:v>33</x:v>
      </x:c>
      <x:c r="E11" s="12" t="n">
        <x:v>0.5</x:v>
      </x:c>
      <x:c r="F11" s="11" t="s">
        <x:v>34</x:v>
      </x:c>
      <x:c r="G11" s="13" t="s">
        <x:v>35</x:v>
      </x:c>
      <x:c r="H11" s="13" t="s">
        <x:v>36</x:v>
      </x:c>
      <x:c r="I11" s="13" t="s">
        <x:v>37</x:v>
      </x:c>
      <x:c r="J11" s="13" t="str">
        <x:v>Planejada</x:v>
      </x:c>
      <x:c r="K11" s="13" t="str">
        <x:v>Planejada</x:v>
      </x:c>
      <x:c r="L11" s="13" t="s">
        <x:v>38</x:v>
      </x:c>
      <x:c r="M11" s="13" t="str">
        <x:v>Planejada</x:v>
      </x:c>
      <x:c r="N11" s="14" t="str">
        <x:v>Não se aplica</x:v>
      </x:c>
      <x:c r="O11" s="53" t="str">
        <x:v>Não se aplica</x:v>
      </x:c>
      <x:c r="P11" s="51"/>
    </x:row>
    <x:row r="12" ht="57" hidden="0" customHeight="1">
      <x:c r="A12" s="1"/>
      <x:c r="B12" s="16" t="s">
        <x:v>39</x:v>
      </x:c>
      <x:c r="C12" s="17" t="n">
        <x:v>46284.5</x:v>
      </x:c>
      <x:c r="D12" s="18" t="s">
        <x:v>40</x:v>
      </x:c>
      <x:c r="E12" s="19" t="n">
        <x:v>0.416666666666667</x:v>
      </x:c>
      <x:c r="F12" s="18" t="s">
        <x:v>20</x:v>
      </x:c>
      <x:c r="G12" s="20" t="s">
        <x:v>41</x:v>
      </x:c>
      <x:c r="H12" s="20" t="s">
        <x:v>42</x:v>
      </x:c>
      <x:c r="I12" s="20" t="s">
        <x:v>43</x:v>
      </x:c>
      <x:c r="J12" s="20" t="str">
        <x:v>Planejada</x:v>
      </x:c>
      <x:c r="K12" s="20" t="str">
        <x:v>Planejada</x:v>
      </x:c>
      <x:c r="L12" s="20" t="s">
        <x:v>24</x:v>
      </x:c>
      <x:c r="M12" s="20" t="str">
        <x:v>Planejada</x:v>
      </x:c>
      <x:c r="N12" s="21" t="str">
        <x:v>Não se aplica</x:v>
      </x:c>
      <x:c r="O12" s="55" t="str">
        <x:v>Não se aplica</x:v>
      </x:c>
      <x:c r="P12" s="51"/>
    </x:row>
    <x:row r="13" ht="57" hidden="0" customHeight="1">
      <x:c r="A13" s="1"/>
      <x:c r="B13" s="22" t="s">
        <x:v>44</x:v>
      </x:c>
      <x:c r="C13" s="23" t="n">
        <x:v>46286.5</x:v>
      </x:c>
      <x:c r="D13" s="24" t="s">
        <x:v>19</x:v>
      </x:c>
      <x:c r="E13" s="25" t="n">
        <x:v>0.5</x:v>
      </x:c>
      <x:c r="F13" s="24" t="s">
        <x:v>34</x:v>
      </x:c>
      <x:c r="G13" s="26" t="s">
        <x:v>45</x:v>
      </x:c>
      <x:c r="H13" s="26" t="s">
        <x:v>46</x:v>
      </x:c>
      <x:c r="I13" s="26" t="s">
        <x:v>47</x:v>
      </x:c>
      <x:c r="J13" s="26" t="str">
        <x:v>Planejada</x:v>
      </x:c>
      <x:c r="K13" s="26" t="str">
        <x:v>Planejada</x:v>
      </x:c>
      <x:c r="L13" s="26" t="s">
        <x:v>38</x:v>
      </x:c>
      <x:c r="M13" s="26" t="str">
        <x:v>Planejada</x:v>
      </x:c>
      <x:c r="N13" s="27" t="str">
        <x:v>Não se aplica</x:v>
      </x:c>
      <x:c r="O13" s="54" t="str">
        <x:v>Não se aplica</x:v>
      </x:c>
      <x:c r="P13" s="51"/>
    </x:row>
    <x:row r="14" ht="57" hidden="0" customHeight="1">
      <x:c r="A14" s="1"/>
      <x:c r="B14" s="16" t="s">
        <x:v>48</x:v>
      </x:c>
      <x:c r="C14" s="17" t="n">
        <x:v>46288.5</x:v>
      </x:c>
      <x:c r="D14" s="18" t="s">
        <x:v>26</x:v>
      </x:c>
      <x:c r="E14" s="19" t="n">
        <x:v>0.770833333333333</x:v>
      </x:c>
      <x:c r="F14" s="18" t="s">
        <x:v>27</x:v>
      </x:c>
      <x:c r="G14" s="20" t="s">
        <x:v>49</x:v>
      </x:c>
      <x:c r="H14" s="20" t="s">
        <x:v>50</x:v>
      </x:c>
      <x:c r="I14" s="20" t="s">
        <x:v>51</x:v>
      </x:c>
      <x:c r="J14" s="20" t="str">
        <x:v>Falta gravar</x:v>
      </x:c>
      <x:c r="K14" s="20" t="str">
        <x:v>Falta gravar</x:v>
      </x:c>
      <x:c r="L14" s="20" t="s">
        <x:v>31</x:v>
      </x:c>
      <x:c r="M14" s="20" t="str">
        <x:v>Falta gravar</x:v>
      </x:c>
      <x:c r="N14" s="20" t="str">
        <x:v>Falta gravar</x:v>
      </x:c>
      <x:c r="O14" s="55" t="str">
        <x:v>Falta gravar</x:v>
      </x:c>
      <x:c r="P14" s="51"/>
    </x:row>
    <x:row r="15" ht="57" hidden="0" customHeight="1">
      <x:c r="A15" s="1"/>
      <x:c r="B15" s="9" t="s">
        <x:v>52</x:v>
      </x:c>
      <x:c r="C15" s="10" t="n">
        <x:v>46290.5</x:v>
      </x:c>
      <x:c r="D15" s="11" t="s">
        <x:v>33</x:v>
      </x:c>
      <x:c r="E15" s="12" t="n">
        <x:v>0.5</x:v>
      </x:c>
      <x:c r="F15" s="11" t="s">
        <x:v>34</x:v>
      </x:c>
      <x:c r="G15" s="13" t="s">
        <x:v>53</x:v>
      </x:c>
      <x:c r="H15" s="13" t="s">
        <x:v>54</x:v>
      </x:c>
      <x:c r="I15" s="13" t="s">
        <x:v>55</x:v>
      </x:c>
      <x:c r="J15" s="13" t="str">
        <x:v>Planejada</x:v>
      </x:c>
      <x:c r="K15" s="13" t="str">
        <x:v>Planejada</x:v>
      </x:c>
      <x:c r="L15" s="13" t="s">
        <x:v>38</x:v>
      </x:c>
      <x:c r="M15" s="13" t="str">
        <x:v>Planejada</x:v>
      </x:c>
      <x:c r="N15" s="14" t="str">
        <x:v>Não se aplica</x:v>
      </x:c>
      <x:c r="O15" s="53" t="str">
        <x:v>Não se aplica</x:v>
      </x:c>
      <x:c r="P15" s="51"/>
    </x:row>
    <x:row r="16" ht="57" hidden="0" customHeight="1">
      <x:c r="A16" s="1"/>
      <x:c r="B16" s="16" t="s">
        <x:v>56</x:v>
      </x:c>
      <x:c r="C16" s="17" t="n">
        <x:v>46291.5</x:v>
      </x:c>
      <x:c r="D16" s="18" t="s">
        <x:v>40</x:v>
      </x:c>
      <x:c r="E16" s="19" t="n">
        <x:v>0.416666666666667</x:v>
      </x:c>
      <x:c r="F16" s="18" t="s">
        <x:v>20</x:v>
      </x:c>
      <x:c r="G16" s="20" t="s">
        <x:v>57</x:v>
      </x:c>
      <x:c r="H16" s="20" t="s">
        <x:v>58</x:v>
      </x:c>
      <x:c r="I16" s="20" t="s">
        <x:v>59</x:v>
      </x:c>
      <x:c r="J16" s="20" t="str">
        <x:v>Planejada</x:v>
      </x:c>
      <x:c r="K16" s="20" t="str">
        <x:v>Planejada</x:v>
      </x:c>
      <x:c r="L16" s="20" t="s">
        <x:v>24</x:v>
      </x:c>
      <x:c r="M16" s="20" t="str">
        <x:v>Planejada</x:v>
      </x:c>
      <x:c r="N16" s="21" t="str">
        <x:v>Não se aplica</x:v>
      </x:c>
      <x:c r="O16" s="55" t="str">
        <x:v>Não se aplica</x:v>
      </x:c>
      <x:c r="P16" s="51"/>
    </x:row>
    <x:row r="17" ht="57" hidden="0" customHeight="1">
      <x:c r="A17" s="1"/>
      <x:c r="B17" s="22" t="s">
        <x:v>60</x:v>
      </x:c>
      <x:c r="C17" s="23" t="n">
        <x:v>46293.5</x:v>
      </x:c>
      <x:c r="D17" s="24" t="s">
        <x:v>19</x:v>
      </x:c>
      <x:c r="E17" s="25" t="n">
        <x:v>0.5</x:v>
      </x:c>
      <x:c r="F17" s="24" t="s">
        <x:v>34</x:v>
      </x:c>
      <x:c r="G17" s="26" t="s">
        <x:v>61</x:v>
      </x:c>
      <x:c r="H17" s="26" t="s">
        <x:v>62</x:v>
      </x:c>
      <x:c r="I17" s="26" t="s">
        <x:v>63</x:v>
      </x:c>
      <x:c r="J17" s="26" t="str">
        <x:v>Planejada</x:v>
      </x:c>
      <x:c r="K17" s="26" t="str">
        <x:v>Planejada</x:v>
      </x:c>
      <x:c r="L17" s="26" t="s">
        <x:v>38</x:v>
      </x:c>
      <x:c r="M17" s="26" t="str">
        <x:v>Planejada</x:v>
      </x:c>
      <x:c r="N17" s="27" t="str">
        <x:v>Não se aplica</x:v>
      </x:c>
      <x:c r="O17" s="54" t="str">
        <x:v>Não se aplica</x:v>
      </x:c>
      <x:c r="P17" s="51"/>
    </x:row>
    <x:row r="18" ht="57" hidden="0" customHeight="1">
      <x:c r="A18" s="1"/>
      <x:c r="B18" s="16" t="s">
        <x:v>64</x:v>
      </x:c>
      <x:c r="C18" s="17" t="n">
        <x:v>46295.5</x:v>
      </x:c>
      <x:c r="D18" s="18" t="s">
        <x:v>26</x:v>
      </x:c>
      <x:c r="E18" s="19" t="n">
        <x:v>0.770833333333333</x:v>
      </x:c>
      <x:c r="F18" s="18" t="s">
        <x:v>27</x:v>
      </x:c>
      <x:c r="G18" s="20" t="s">
        <x:v>65</x:v>
      </x:c>
      <x:c r="H18" s="20" t="s">
        <x:v>66</x:v>
      </x:c>
      <x:c r="I18" s="20" t="s">
        <x:v>67</x:v>
      </x:c>
      <x:c r="J18" s="20" t="str">
        <x:v>Falta gravar</x:v>
      </x:c>
      <x:c r="K18" s="20" t="str">
        <x:v>Falta gravar</x:v>
      </x:c>
      <x:c r="L18" s="20" t="s">
        <x:v>31</x:v>
      </x:c>
      <x:c r="M18" s="20" t="str">
        <x:v>Falta gravar</x:v>
      </x:c>
      <x:c r="N18" s="20" t="str">
        <x:v>Falta gravar</x:v>
      </x:c>
      <x:c r="O18" s="55" t="str">
        <x:v>Falta gravar</x:v>
      </x:c>
      <x:c r="P18" s="51"/>
    </x:row>
    <x:row r="19" ht="57" hidden="0" customHeight="1">
      <x:c r="A19" s="1"/>
      <x:c r="B19" s="9" t="s">
        <x:v>68</x:v>
      </x:c>
      <x:c r="C19" s="10" t="n">
        <x:v>46297.5</x:v>
      </x:c>
      <x:c r="D19" s="11" t="s">
        <x:v>33</x:v>
      </x:c>
      <x:c r="E19" s="12" t="n">
        <x:v>0.5</x:v>
      </x:c>
      <x:c r="F19" s="11" t="s">
        <x:v>34</x:v>
      </x:c>
      <x:c r="G19" s="13" t="s">
        <x:v>69</x:v>
      </x:c>
      <x:c r="H19" s="13" t="s">
        <x:v>70</x:v>
      </x:c>
      <x:c r="I19" s="13" t="s">
        <x:v>71</x:v>
      </x:c>
      <x:c r="J19" s="13" t="str">
        <x:v>Planejada</x:v>
      </x:c>
      <x:c r="K19" s="13" t="str">
        <x:v>Planejada</x:v>
      </x:c>
      <x:c r="L19" s="13" t="s">
        <x:v>38</x:v>
      </x:c>
      <x:c r="M19" s="13" t="str">
        <x:v>Planejada</x:v>
      </x:c>
      <x:c r="N19" s="14" t="str">
        <x:v>Não se aplica</x:v>
      </x:c>
      <x:c r="O19" s="53" t="str">
        <x:v>Não se aplica</x:v>
      </x:c>
      <x:c r="P19" s="51"/>
    </x:row>
    <x:row r="20" ht="57" hidden="0" customHeight="1">
      <x:c r="A20" s="1"/>
      <x:c r="B20" s="16" t="s">
        <x:v>72</x:v>
      </x:c>
      <x:c r="C20" s="17" t="n">
        <x:v>46298.5</x:v>
      </x:c>
      <x:c r="D20" s="18" t="s">
        <x:v>40</x:v>
      </x:c>
      <x:c r="E20" s="19" t="n">
        <x:v>0.416666666666667</x:v>
      </x:c>
      <x:c r="F20" s="18" t="s">
        <x:v>20</x:v>
      </x:c>
      <x:c r="G20" s="20" t="s">
        <x:v>73</x:v>
      </x:c>
      <x:c r="H20" s="20" t="s">
        <x:v>74</x:v>
      </x:c>
      <x:c r="I20" s="20" t="s">
        <x:v>75</x:v>
      </x:c>
      <x:c r="J20" s="20" t="str">
        <x:v>Planejada</x:v>
      </x:c>
      <x:c r="K20" s="20" t="str">
        <x:v>Planejada</x:v>
      </x:c>
      <x:c r="L20" s="20" t="s">
        <x:v>24</x:v>
      </x:c>
      <x:c r="M20" s="20" t="str">
        <x:v>Planejada</x:v>
      </x:c>
      <x:c r="N20" s="21" t="str">
        <x:v>Não se aplica</x:v>
      </x:c>
      <x:c r="O20" s="55" t="str">
        <x:v>Não se aplica</x:v>
      </x:c>
      <x:c r="P20" s="51"/>
    </x:row>
    <x:row r="21" ht="57" hidden="0" customHeight="1">
      <x:c r="A21" s="1"/>
      <x:c r="B21" s="22" t="s">
        <x:v>76</x:v>
      </x:c>
      <x:c r="C21" s="23" t="n">
        <x:v>46300.5</x:v>
      </x:c>
      <x:c r="D21" s="24" t="s">
        <x:v>19</x:v>
      </x:c>
      <x:c r="E21" s="25" t="n">
        <x:v>0.5</x:v>
      </x:c>
      <x:c r="F21" s="24" t="s">
        <x:v>34</x:v>
      </x:c>
      <x:c r="G21" s="26" t="s">
        <x:v>77</x:v>
      </x:c>
      <x:c r="H21" s="26" t="s">
        <x:v>78</x:v>
      </x:c>
      <x:c r="I21" s="26" t="s">
        <x:v>79</x:v>
      </x:c>
      <x:c r="J21" s="26" t="str">
        <x:v>Planejada</x:v>
      </x:c>
      <x:c r="K21" s="26" t="str">
        <x:v>Planejada</x:v>
      </x:c>
      <x:c r="L21" s="26" t="s">
        <x:v>38</x:v>
      </x:c>
      <x:c r="M21" s="26" t="str">
        <x:v>Planejada</x:v>
      </x:c>
      <x:c r="N21" s="27" t="str">
        <x:v>Não se aplica</x:v>
      </x:c>
      <x:c r="O21" s="54" t="str">
        <x:v>Não se aplica</x:v>
      </x:c>
      <x:c r="P21" s="51"/>
    </x:row>
    <x:row r="22" ht="57" hidden="0" customHeight="1">
      <x:c r="A22" s="1"/>
      <x:c r="B22" s="16" t="s">
        <x:v>80</x:v>
      </x:c>
      <x:c r="C22" s="17" t="n">
        <x:v>46302.5</x:v>
      </x:c>
      <x:c r="D22" s="18" t="s">
        <x:v>26</x:v>
      </x:c>
      <x:c r="E22" s="19" t="n">
        <x:v>0.770833333333333</x:v>
      </x:c>
      <x:c r="F22" s="18" t="s">
        <x:v>27</x:v>
      </x:c>
      <x:c r="G22" s="20" t="s">
        <x:v>81</x:v>
      </x:c>
      <x:c r="H22" s="20" t="s">
        <x:v>82</x:v>
      </x:c>
      <x:c r="I22" s="20" t="s">
        <x:v>83</x:v>
      </x:c>
      <x:c r="J22" s="20" t="str">
        <x:v>Planejada</x:v>
      </x:c>
      <x:c r="K22" s="20" t="str">
        <x:v>Planejada</x:v>
      </x:c>
      <x:c r="L22" s="20" t="s">
        <x:v>31</x:v>
      </x:c>
      <x:c r="M22" s="20" t="str">
        <x:v>Planejada</x:v>
      </x:c>
      <x:c r="N22" s="20" t="str">
        <x:v>Planejada</x:v>
      </x:c>
      <x:c r="O22" s="55" t="str">
        <x:v>Planejada</x:v>
      </x:c>
      <x:c r="P22" s="51"/>
    </x:row>
    <x:row r="23" ht="57" hidden="0" customHeight="1">
      <x:c r="A23" s="1"/>
      <x:c r="B23" s="9" t="s">
        <x:v>84</x:v>
      </x:c>
      <x:c r="C23" s="10" t="n">
        <x:v>46304.5</x:v>
      </x:c>
      <x:c r="D23" s="11" t="s">
        <x:v>33</x:v>
      </x:c>
      <x:c r="E23" s="12" t="n">
        <x:v>0.5</x:v>
      </x:c>
      <x:c r="F23" s="11" t="s">
        <x:v>34</x:v>
      </x:c>
      <x:c r="G23" s="13" t="s">
        <x:v>85</x:v>
      </x:c>
      <x:c r="H23" s="13" t="s">
        <x:v>86</x:v>
      </x:c>
      <x:c r="I23" s="13" t="s">
        <x:v>87</x:v>
      </x:c>
      <x:c r="J23" s="13" t="str">
        <x:v>Planejada</x:v>
      </x:c>
      <x:c r="K23" s="13" t="str">
        <x:v>Planejada</x:v>
      </x:c>
      <x:c r="L23" s="13" t="s">
        <x:v>38</x:v>
      </x:c>
      <x:c r="M23" s="13" t="str">
        <x:v>Planejada</x:v>
      </x:c>
      <x:c r="N23" s="14" t="str">
        <x:v>Não se aplica</x:v>
      </x:c>
      <x:c r="O23" s="53" t="str">
        <x:v>Não se aplica</x:v>
      </x:c>
      <x:c r="P23" s="51"/>
    </x:row>
    <x:row r="24" ht="57" hidden="0" customHeight="1">
      <x:c r="A24" s="1"/>
      <x:c r="B24" s="16" t="s">
        <x:v>88</x:v>
      </x:c>
      <x:c r="C24" s="17" t="n">
        <x:v>46305.5</x:v>
      </x:c>
      <x:c r="D24" s="18" t="s">
        <x:v>40</x:v>
      </x:c>
      <x:c r="E24" s="19" t="n">
        <x:v>0.416666666666667</x:v>
      </x:c>
      <x:c r="F24" s="18" t="s">
        <x:v>20</x:v>
      </x:c>
      <x:c r="G24" s="20" t="s">
        <x:v>89</x:v>
      </x:c>
      <x:c r="H24" s="20" t="s">
        <x:v>90</x:v>
      </x:c>
      <x:c r="I24" s="20" t="s">
        <x:v>91</x:v>
      </x:c>
      <x:c r="J24" s="20" t="str">
        <x:v>Planejada</x:v>
      </x:c>
      <x:c r="K24" s="20" t="str">
        <x:v>Planejada</x:v>
      </x:c>
      <x:c r="L24" s="20" t="s">
        <x:v>24</x:v>
      </x:c>
      <x:c r="M24" s="20" t="str">
        <x:v>Planejada</x:v>
      </x:c>
      <x:c r="N24" s="21" t="str">
        <x:v>Não se aplica</x:v>
      </x:c>
      <x:c r="O24" s="55" t="str">
        <x:v>Não se aplica</x:v>
      </x:c>
      <x:c r="P24" s="51"/>
    </x:row>
    <x:row r="25" ht="64.5" hidden="0" customHeight="1">
      <x:c r="A25" s="1"/>
      <x:c r="B25" s="22" t="s">
        <x:v>92</x:v>
      </x:c>
      <x:c r="C25" s="23" t="n">
        <x:v>46307.5</x:v>
      </x:c>
      <x:c r="D25" s="24" t="s">
        <x:v>19</x:v>
      </x:c>
      <x:c r="E25" s="25" t="n">
        <x:v>0.5</x:v>
      </x:c>
      <x:c r="F25" s="24" t="s">
        <x:v>34</x:v>
      </x:c>
      <x:c r="G25" s="26" t="s">
        <x:v>93</x:v>
      </x:c>
      <x:c r="H25" s="26" t="s">
        <x:v>94</x:v>
      </x:c>
      <x:c r="I25" s="26" t="s">
        <x:v>95</x:v>
      </x:c>
      <x:c r="J25" s="26" t="str">
        <x:v>Planejada</x:v>
      </x:c>
      <x:c r="K25" s="26" t="str">
        <x:v>Planejada</x:v>
      </x:c>
      <x:c r="L25" s="26" t="s">
        <x:v>38</x:v>
      </x:c>
      <x:c r="M25" s="26" t="str">
        <x:v>Planejada</x:v>
      </x:c>
      <x:c r="N25" s="27" t="str">
        <x:v>Não se aplica</x:v>
      </x:c>
      <x:c r="O25" s="54" t="str">
        <x:v>Não se aplica</x:v>
      </x:c>
      <x:c r="P25" s="51"/>
    </x:row>
    <x:row r="26" ht="64.5" hidden="0" customHeight="1">
      <x:c r="A26" s="1"/>
      <x:c r="B26" s="16" t="s">
        <x:v>96</x:v>
      </x:c>
      <x:c r="C26" s="17" t="n">
        <x:v>46309.5</x:v>
      </x:c>
      <x:c r="D26" s="18" t="s">
        <x:v>26</x:v>
      </x:c>
      <x:c r="E26" s="19" t="n">
        <x:v>0.770833333333333</x:v>
      </x:c>
      <x:c r="F26" s="18" t="s">
        <x:v>27</x:v>
      </x:c>
      <x:c r="G26" s="20" t="s">
        <x:v>97</x:v>
      </x:c>
      <x:c r="H26" s="20" t="s">
        <x:v>98</x:v>
      </x:c>
      <x:c r="I26" s="20" t="s">
        <x:v>99</x:v>
      </x:c>
      <x:c r="J26" s="20" t="str">
        <x:v>Planejada</x:v>
      </x:c>
      <x:c r="K26" s="20" t="str">
        <x:v>Planejada</x:v>
      </x:c>
      <x:c r="L26" s="20" t="s">
        <x:v>31</x:v>
      </x:c>
      <x:c r="M26" s="20" t="str">
        <x:v>Planejada</x:v>
      </x:c>
      <x:c r="N26" s="20" t="str">
        <x:v>Planejada</x:v>
      </x:c>
      <x:c r="O26" s="55" t="str">
        <x:v>Planejada</x:v>
      </x:c>
      <x:c r="P26" s="51"/>
    </x:row>
    <x:row r="27" ht="64.5" hidden="0" customHeight="1">
      <x:c r="A27" s="1"/>
      <x:c r="B27" s="9" t="s">
        <x:v>100</x:v>
      </x:c>
      <x:c r="C27" s="10" t="n">
        <x:v>46311.5</x:v>
      </x:c>
      <x:c r="D27" s="11" t="s">
        <x:v>33</x:v>
      </x:c>
      <x:c r="E27" s="12" t="n">
        <x:v>0.5</x:v>
      </x:c>
      <x:c r="F27" s="11" t="s">
        <x:v>34</x:v>
      </x:c>
      <x:c r="G27" s="13" t="s">
        <x:v>101</x:v>
      </x:c>
      <x:c r="H27" s="13" t="s">
        <x:v>102</x:v>
      </x:c>
      <x:c r="I27" s="13" t="s">
        <x:v>37</x:v>
      </x:c>
      <x:c r="J27" s="13" t="str">
        <x:v>Planejada</x:v>
      </x:c>
      <x:c r="K27" s="13" t="str">
        <x:v>Planejada</x:v>
      </x:c>
      <x:c r="L27" s="13" t="s">
        <x:v>38</x:v>
      </x:c>
      <x:c r="M27" s="13" t="str">
        <x:v>Planejada</x:v>
      </x:c>
      <x:c r="N27" s="14" t="str">
        <x:v>Não se aplica</x:v>
      </x:c>
      <x:c r="O27" s="53" t="str">
        <x:v>Não se aplica</x:v>
      </x:c>
      <x:c r="P27" s="51"/>
    </x:row>
    <x:row r="28" ht="64.5" hidden="0" customHeight="1">
      <x:c r="A28" s="1"/>
      <x:c r="B28" s="16" t="s">
        <x:v>103</x:v>
      </x:c>
      <x:c r="C28" s="17" t="n">
        <x:v>46312.5</x:v>
      </x:c>
      <x:c r="D28" s="18" t="s">
        <x:v>40</x:v>
      </x:c>
      <x:c r="E28" s="19" t="n">
        <x:v>0.416666666666667</x:v>
      </x:c>
      <x:c r="F28" s="18" t="s">
        <x:v>20</x:v>
      </x:c>
      <x:c r="G28" s="20" t="s">
        <x:v>104</x:v>
      </x:c>
      <x:c r="H28" s="20" t="s">
        <x:v>105</x:v>
      </x:c>
      <x:c r="I28" s="20" t="s">
        <x:v>106</x:v>
      </x:c>
      <x:c r="J28" s="20" t="str">
        <x:v>Planejada</x:v>
      </x:c>
      <x:c r="K28" s="20" t="str">
        <x:v>Planejada</x:v>
      </x:c>
      <x:c r="L28" s="20" t="s">
        <x:v>24</x:v>
      </x:c>
      <x:c r="M28" s="20" t="str">
        <x:v>Planejada</x:v>
      </x:c>
      <x:c r="N28" s="21" t="str">
        <x:v>Não se aplica</x:v>
      </x:c>
      <x:c r="O28" s="55" t="str">
        <x:v>Não se aplica</x:v>
      </x:c>
      <x:c r="P28" s="51"/>
    </x:row>
    <x:row r="29" ht="64.5" hidden="0" customHeight="1">
      <x:c r="A29" s="1"/>
      <x:c r="B29" s="22" t="s">
        <x:v>107</x:v>
      </x:c>
      <x:c r="C29" s="23" t="n">
        <x:v>46314.5</x:v>
      </x:c>
      <x:c r="D29" s="24" t="s">
        <x:v>19</x:v>
      </x:c>
      <x:c r="E29" s="25" t="n">
        <x:v>0.5</x:v>
      </x:c>
      <x:c r="F29" s="24" t="s">
        <x:v>34</x:v>
      </x:c>
      <x:c r="G29" s="26" t="s">
        <x:v>108</x:v>
      </x:c>
      <x:c r="H29" s="26" t="s">
        <x:v>94</x:v>
      </x:c>
      <x:c r="I29" s="26" t="s">
        <x:v>109</x:v>
      </x:c>
      <x:c r="J29" s="26" t="str">
        <x:v>Planejada</x:v>
      </x:c>
      <x:c r="K29" s="26" t="str">
        <x:v>Planejada</x:v>
      </x:c>
      <x:c r="L29" s="26" t="s">
        <x:v>38</x:v>
      </x:c>
      <x:c r="M29" s="26" t="str">
        <x:v>Planejada</x:v>
      </x:c>
      <x:c r="N29" s="27" t="str">
        <x:v>Não se aplica</x:v>
      </x:c>
      <x:c r="O29" s="54" t="str">
        <x:v>Não se aplica</x:v>
      </x:c>
      <x:c r="P29" s="51"/>
    </x:row>
    <x:row r="30" ht="64.5" hidden="0" customHeight="1">
      <x:c r="B30" s="16" t="s">
        <x:v>110</x:v>
      </x:c>
      <x:c r="C30" s="17" t="n">
        <x:v>46316.5</x:v>
      </x:c>
      <x:c r="D30" s="18" t="s">
        <x:v>26</x:v>
      </x:c>
      <x:c r="E30" s="19" t="n">
        <x:v>0.770833333333333</x:v>
      </x:c>
      <x:c r="F30" s="18" t="s">
        <x:v>27</x:v>
      </x:c>
      <x:c r="G30" s="20" t="s">
        <x:v>111</x:v>
      </x:c>
      <x:c r="H30" s="20" t="s">
        <x:v>98</x:v>
      </x:c>
      <x:c r="I30" s="20" t="s">
        <x:v>112</x:v>
      </x:c>
      <x:c r="J30" s="20" t="str">
        <x:v>Planejada</x:v>
      </x:c>
      <x:c r="K30" s="20" t="str">
        <x:v>Planejada</x:v>
      </x:c>
      <x:c r="L30" s="20" t="s">
        <x:v>31</x:v>
      </x:c>
      <x:c r="M30" s="20" t="str">
        <x:v>Planejada</x:v>
      </x:c>
      <x:c r="N30" s="20" t="str">
        <x:v>Planejada</x:v>
      </x:c>
      <x:c r="O30" s="55" t="str">
        <x:v>Planejada</x:v>
      </x:c>
      <x:c r="P30" s="51"/>
    </x:row>
    <x:row r="31" ht="64.5" hidden="0" customHeight="1">
      <x:c r="B31" s="9" t="s">
        <x:v>113</x:v>
      </x:c>
      <x:c r="C31" s="10" t="n">
        <x:v>46318.5</x:v>
      </x:c>
      <x:c r="D31" s="11" t="s">
        <x:v>33</x:v>
      </x:c>
      <x:c r="E31" s="12" t="n">
        <x:v>0.5</x:v>
      </x:c>
      <x:c r="F31" s="11" t="s">
        <x:v>34</x:v>
      </x:c>
      <x:c r="G31" s="13" t="s">
        <x:v>114</x:v>
      </x:c>
      <x:c r="H31" s="13" t="s">
        <x:v>102</x:v>
      </x:c>
      <x:c r="I31" s="13" t="s">
        <x:v>115</x:v>
      </x:c>
      <x:c r="J31" s="13" t="str">
        <x:v>Planejada</x:v>
      </x:c>
      <x:c r="K31" s="13" t="str">
        <x:v>Planejada</x:v>
      </x:c>
      <x:c r="L31" s="13" t="s">
        <x:v>38</x:v>
      </x:c>
      <x:c r="M31" s="13" t="str">
        <x:v>Planejada</x:v>
      </x:c>
      <x:c r="N31" s="14" t="str">
        <x:v>Não se aplica</x:v>
      </x:c>
      <x:c r="O31" s="53" t="str">
        <x:v>Não se aplica</x:v>
      </x:c>
      <x:c r="P31" s="51"/>
    </x:row>
    <x:row r="32" ht="64.5" hidden="0" customHeight="1">
      <x:c r="B32" s="16" t="s">
        <x:v>116</x:v>
      </x:c>
      <x:c r="C32" s="17" t="n">
        <x:v>46319.5</x:v>
      </x:c>
      <x:c r="D32" s="18" t="s">
        <x:v>40</x:v>
      </x:c>
      <x:c r="E32" s="19" t="n">
        <x:v>0.416666666666667</x:v>
      </x:c>
      <x:c r="F32" s="18" t="s">
        <x:v>20</x:v>
      </x:c>
      <x:c r="G32" s="20" t="s">
        <x:v>117</x:v>
      </x:c>
      <x:c r="H32" s="20" t="s">
        <x:v>105</x:v>
      </x:c>
      <x:c r="I32" s="20" t="s">
        <x:v>106</x:v>
      </x:c>
      <x:c r="J32" s="20" t="str">
        <x:v>Planejada</x:v>
      </x:c>
      <x:c r="K32" s="20" t="str">
        <x:v>Planejada</x:v>
      </x:c>
      <x:c r="L32" s="20" t="s">
        <x:v>24</x:v>
      </x:c>
      <x:c r="M32" s="20" t="str">
        <x:v>Planejada</x:v>
      </x:c>
      <x:c r="N32" s="21" t="str">
        <x:v>Não se aplica</x:v>
      </x:c>
      <x:c r="O32" s="55" t="str">
        <x:v>Não se aplica</x:v>
      </x:c>
      <x:c r="P32" s="51"/>
    </x:row>
    <x:row r="33" ht="64.5" hidden="0" customHeight="1">
      <x:c r="B33" s="22" t="s">
        <x:v>118</x:v>
      </x:c>
      <x:c r="C33" s="23" t="n">
        <x:v>46321.5</x:v>
      </x:c>
      <x:c r="D33" s="24" t="s">
        <x:v>19</x:v>
      </x:c>
      <x:c r="E33" s="25" t="n">
        <x:v>0.5</x:v>
      </x:c>
      <x:c r="F33" s="24" t="s">
        <x:v>34</x:v>
      </x:c>
      <x:c r="G33" s="26" t="s">
        <x:v>119</x:v>
      </x:c>
      <x:c r="H33" s="26" t="s">
        <x:v>94</x:v>
      </x:c>
      <x:c r="I33" s="26" t="s">
        <x:v>59</x:v>
      </x:c>
      <x:c r="J33" s="26" t="str">
        <x:v>Planejada</x:v>
      </x:c>
      <x:c r="K33" s="26" t="str">
        <x:v>Planejada</x:v>
      </x:c>
      <x:c r="L33" s="26" t="s">
        <x:v>38</x:v>
      </x:c>
      <x:c r="M33" s="26" t="str">
        <x:v>Planejada</x:v>
      </x:c>
      <x:c r="N33" s="27" t="str">
        <x:v>Não se aplica</x:v>
      </x:c>
      <x:c r="O33" s="54" t="str">
        <x:v>Não se aplica</x:v>
      </x:c>
      <x:c r="P33" s="51"/>
    </x:row>
    <x:row r="34" ht="64.5" hidden="0" customHeight="1">
      <x:c r="B34" s="16" t="s">
        <x:v>120</x:v>
      </x:c>
      <x:c r="C34" s="17" t="n">
        <x:v>46323.5</x:v>
      </x:c>
      <x:c r="D34" s="18" t="s">
        <x:v>26</x:v>
      </x:c>
      <x:c r="E34" s="19" t="n">
        <x:v>0.770833333333333</x:v>
      </x:c>
      <x:c r="F34" s="18" t="s">
        <x:v>27</x:v>
      </x:c>
      <x:c r="G34" s="20" t="s">
        <x:v>121</x:v>
      </x:c>
      <x:c r="H34" s="20" t="s">
        <x:v>98</x:v>
      </x:c>
      <x:c r="I34" s="20" t="s">
        <x:v>59</x:v>
      </x:c>
      <x:c r="J34" s="20" t="str">
        <x:v>Planejada</x:v>
      </x:c>
      <x:c r="K34" s="20" t="str">
        <x:v>Planejada</x:v>
      </x:c>
      <x:c r="L34" s="20" t="s">
        <x:v>31</x:v>
      </x:c>
      <x:c r="M34" s="20" t="str">
        <x:v>Planejada</x:v>
      </x:c>
      <x:c r="N34" s="20" t="str">
        <x:v>Planejada</x:v>
      </x:c>
      <x:c r="O34" s="55" t="str">
        <x:v>Planejada</x:v>
      </x:c>
      <x:c r="P34" s="51"/>
    </x:row>
    <x:row r="35" ht="64.5" hidden="0" customHeight="1">
      <x:c r="B35" s="9" t="s">
        <x:v>122</x:v>
      </x:c>
      <x:c r="C35" s="10" t="n">
        <x:v>46325.5</x:v>
      </x:c>
      <x:c r="D35" s="11" t="s">
        <x:v>33</x:v>
      </x:c>
      <x:c r="E35" s="12" t="n">
        <x:v>0.5</x:v>
      </x:c>
      <x:c r="F35" s="11" t="s">
        <x:v>34</x:v>
      </x:c>
      <x:c r="G35" s="13" t="s">
        <x:v>123</x:v>
      </x:c>
      <x:c r="H35" s="13" t="s">
        <x:v>102</x:v>
      </x:c>
      <x:c r="I35" s="13" t="s">
        <x:v>47</x:v>
      </x:c>
      <x:c r="J35" s="13" t="str">
        <x:v>Planejada</x:v>
      </x:c>
      <x:c r="K35" s="13" t="str">
        <x:v>Planejada</x:v>
      </x:c>
      <x:c r="L35" s="13" t="s">
        <x:v>38</x:v>
      </x:c>
      <x:c r="M35" s="13" t="str">
        <x:v>Planejada</x:v>
      </x:c>
      <x:c r="N35" s="14" t="str">
        <x:v>Não se aplica</x:v>
      </x:c>
      <x:c r="O35" s="53" t="str">
        <x:v>Não se aplica</x:v>
      </x:c>
      <x:c r="P35" s="51"/>
    </x:row>
    <x:row r="36" ht="64.5" hidden="0" customHeight="1">
      <x:c r="B36" s="16" t="s">
        <x:v>124</x:v>
      </x:c>
      <x:c r="C36" s="17" t="n">
        <x:v>46326.5</x:v>
      </x:c>
      <x:c r="D36" s="18" t="s">
        <x:v>40</x:v>
      </x:c>
      <x:c r="E36" s="19" t="n">
        <x:v>0.416666666666667</x:v>
      </x:c>
      <x:c r="F36" s="18" t="s">
        <x:v>20</x:v>
      </x:c>
      <x:c r="G36" s="20" t="s">
        <x:v>125</x:v>
      </x:c>
      <x:c r="H36" s="20" t="s">
        <x:v>105</x:v>
      </x:c>
      <x:c r="I36" s="20" t="s">
        <x:v>106</x:v>
      </x:c>
      <x:c r="J36" s="20" t="str">
        <x:v>Planejada</x:v>
      </x:c>
      <x:c r="K36" s="20" t="str">
        <x:v>Planejada</x:v>
      </x:c>
      <x:c r="L36" s="20" t="s">
        <x:v>24</x:v>
      </x:c>
      <x:c r="M36" s="20" t="str">
        <x:v>Planejada</x:v>
      </x:c>
      <x:c r="N36" s="21" t="str">
        <x:v>Não se aplica</x:v>
      </x:c>
      <x:c r="O36" s="55" t="str">
        <x:v>Não se aplica</x:v>
      </x:c>
      <x:c r="P36" s="51"/>
    </x:row>
    <x:row r="37" ht="64.5" hidden="0" customHeight="1">
      <x:c r="B37" s="22" t="s">
        <x:v>126</x:v>
      </x:c>
      <x:c r="C37" s="23" t="n">
        <x:v>46328.5</x:v>
      </x:c>
      <x:c r="D37" s="24" t="s">
        <x:v>19</x:v>
      </x:c>
      <x:c r="E37" s="25" t="n">
        <x:v>0.5</x:v>
      </x:c>
      <x:c r="F37" s="24" t="s">
        <x:v>34</x:v>
      </x:c>
      <x:c r="G37" s="26" t="s">
        <x:v>127</x:v>
      </x:c>
      <x:c r="H37" s="26" t="s">
        <x:v>94</x:v>
      </x:c>
      <x:c r="I37" s="26" t="s">
        <x:v>128</x:v>
      </x:c>
      <x:c r="J37" s="26" t="str">
        <x:v>Planejada</x:v>
      </x:c>
      <x:c r="K37" s="26" t="str">
        <x:v>Planejada</x:v>
      </x:c>
      <x:c r="L37" s="26" t="s">
        <x:v>38</x:v>
      </x:c>
      <x:c r="M37" s="26" t="str">
        <x:v>Planejada</x:v>
      </x:c>
      <x:c r="N37" s="27" t="str">
        <x:v>Não se aplica</x:v>
      </x:c>
      <x:c r="O37" s="54" t="str">
        <x:v>Não se aplica</x:v>
      </x:c>
      <x:c r="P37" s="51"/>
    </x:row>
    <x:row r="38" ht="64.5" hidden="0" customHeight="1">
      <x:c r="B38" s="16" t="s">
        <x:v>129</x:v>
      </x:c>
      <x:c r="C38" s="17" t="n">
        <x:v>46330.5</x:v>
      </x:c>
      <x:c r="D38" s="18" t="s">
        <x:v>26</x:v>
      </x:c>
      <x:c r="E38" s="19" t="n">
        <x:v>0.770833333333333</x:v>
      </x:c>
      <x:c r="F38" s="18" t="s">
        <x:v>27</x:v>
      </x:c>
      <x:c r="G38" s="20" t="s">
        <x:v>130</x:v>
      </x:c>
      <x:c r="H38" s="20" t="s">
        <x:v>98</x:v>
      </x:c>
      <x:c r="I38" s="20" t="s">
        <x:v>51</x:v>
      </x:c>
      <x:c r="J38" s="20" t="str">
        <x:v>Planejada</x:v>
      </x:c>
      <x:c r="K38" s="20" t="str">
        <x:v>Planejada</x:v>
      </x:c>
      <x:c r="L38" s="20" t="s">
        <x:v>31</x:v>
      </x:c>
      <x:c r="M38" s="20" t="str">
        <x:v>Planejada</x:v>
      </x:c>
      <x:c r="N38" s="20" t="str">
        <x:v>Planejada</x:v>
      </x:c>
      <x:c r="O38" s="55" t="str">
        <x:v>Planejada</x:v>
      </x:c>
      <x:c r="P38" s="51"/>
    </x:row>
    <x:row r="39" ht="64.5" hidden="0" customHeight="1">
      <x:c r="B39" s="9" t="s">
        <x:v>131</x:v>
      </x:c>
      <x:c r="C39" s="10" t="n">
        <x:v>46332.5</x:v>
      </x:c>
      <x:c r="D39" s="11" t="s">
        <x:v>33</x:v>
      </x:c>
      <x:c r="E39" s="12" t="n">
        <x:v>0.5</x:v>
      </x:c>
      <x:c r="F39" s="11" t="s">
        <x:v>34</x:v>
      </x:c>
      <x:c r="G39" s="13" t="s">
        <x:v>132</x:v>
      </x:c>
      <x:c r="H39" s="13" t="s">
        <x:v>102</x:v>
      </x:c>
      <x:c r="I39" s="13" t="s">
        <x:v>133</x:v>
      </x:c>
      <x:c r="J39" s="13" t="str">
        <x:v>Planejada</x:v>
      </x:c>
      <x:c r="K39" s="13" t="str">
        <x:v>Planejada</x:v>
      </x:c>
      <x:c r="L39" s="13" t="s">
        <x:v>38</x:v>
      </x:c>
      <x:c r="M39" s="13" t="str">
        <x:v>Planejada</x:v>
      </x:c>
      <x:c r="N39" s="14" t="str">
        <x:v>Não se aplica</x:v>
      </x:c>
      <x:c r="O39" s="53" t="str">
        <x:v>Não se aplica</x:v>
      </x:c>
      <x:c r="P39" s="51"/>
    </x:row>
    <x:row r="40" ht="64.5" hidden="0" customHeight="1">
      <x:c r="B40" s="16" t="s">
        <x:v>134</x:v>
      </x:c>
      <x:c r="C40" s="17" t="n">
        <x:v>46333.5</x:v>
      </x:c>
      <x:c r="D40" s="18" t="s">
        <x:v>40</x:v>
      </x:c>
      <x:c r="E40" s="19" t="n">
        <x:v>0.416666666666667</x:v>
      </x:c>
      <x:c r="F40" s="18" t="s">
        <x:v>20</x:v>
      </x:c>
      <x:c r="G40" s="20" t="s">
        <x:v>135</x:v>
      </x:c>
      <x:c r="H40" s="20" t="s">
        <x:v>136</x:v>
      </x:c>
      <x:c r="I40" s="20" t="s">
        <x:v>51</x:v>
      </x:c>
      <x:c r="J40" s="20" t="str">
        <x:v>Planejada</x:v>
      </x:c>
      <x:c r="K40" s="20" t="str">
        <x:v>Planejada</x:v>
      </x:c>
      <x:c r="L40" s="20" t="s">
        <x:v>24</x:v>
      </x:c>
      <x:c r="M40" s="20" t="str">
        <x:v>Planejada</x:v>
      </x:c>
      <x:c r="N40" s="21" t="str">
        <x:v>Não se aplica</x:v>
      </x:c>
      <x:c r="O40" s="55" t="str">
        <x:v>Não se aplica</x:v>
      </x:c>
      <x:c r="P40" s="51"/>
    </x:row>
    <x:row r="41" ht="64.5" hidden="0" customHeight="1">
      <x:c r="B41" s="22" t="s">
        <x:v>137</x:v>
      </x:c>
      <x:c r="C41" s="23" t="n">
        <x:v>46335.5</x:v>
      </x:c>
      <x:c r="D41" s="24" t="s">
        <x:v>19</x:v>
      </x:c>
      <x:c r="E41" s="25" t="n">
        <x:v>0.5</x:v>
      </x:c>
      <x:c r="F41" s="24" t="s">
        <x:v>34</x:v>
      </x:c>
      <x:c r="G41" s="26" t="s">
        <x:v>138</x:v>
      </x:c>
      <x:c r="H41" s="26" t="s">
        <x:v>94</x:v>
      </x:c>
      <x:c r="I41" s="26" t="s">
        <x:v>95</x:v>
      </x:c>
      <x:c r="J41" s="26" t="str">
        <x:v>Planejada</x:v>
      </x:c>
      <x:c r="K41" s="26" t="str">
        <x:v>Planejada</x:v>
      </x:c>
      <x:c r="L41" s="26" t="s">
        <x:v>38</x:v>
      </x:c>
      <x:c r="M41" s="26" t="str">
        <x:v>Planejada</x:v>
      </x:c>
      <x:c r="N41" s="27" t="str">
        <x:v>Não se aplica</x:v>
      </x:c>
      <x:c r="O41" s="54" t="str">
        <x:v>Não se aplica</x:v>
      </x:c>
      <x:c r="P41" s="51"/>
    </x:row>
    <x:row r="42" ht="64.5" hidden="0" customHeight="1">
      <x:c r="B42" s="16" t="s">
        <x:v>139</x:v>
      </x:c>
      <x:c r="C42" s="17" t="n">
        <x:v>46337.5</x:v>
      </x:c>
      <x:c r="D42" s="18" t="s">
        <x:v>26</x:v>
      </x:c>
      <x:c r="E42" s="19" t="n">
        <x:v>0.770833333333333</x:v>
      </x:c>
      <x:c r="F42" s="18" t="s">
        <x:v>27</x:v>
      </x:c>
      <x:c r="G42" s="20" t="s">
        <x:v>140</x:v>
      </x:c>
      <x:c r="H42" s="20" t="s">
        <x:v>98</x:v>
      </x:c>
      <x:c r="I42" s="20" t="s">
        <x:v>99</x:v>
      </x:c>
      <x:c r="J42" s="20" t="str">
        <x:v>Planejada</x:v>
      </x:c>
      <x:c r="K42" s="20" t="str">
        <x:v>Planejada</x:v>
      </x:c>
      <x:c r="L42" s="20" t="s">
        <x:v>31</x:v>
      </x:c>
      <x:c r="M42" s="20" t="str">
        <x:v>Planejada</x:v>
      </x:c>
      <x:c r="N42" s="20" t="str">
        <x:v>Planejada</x:v>
      </x:c>
      <x:c r="O42" s="55" t="str">
        <x:v>Planejada</x:v>
      </x:c>
      <x:c r="P42" s="51"/>
    </x:row>
    <x:row r="43" ht="64.5" hidden="0" customHeight="1">
      <x:c r="B43" s="9" t="s">
        <x:v>141</x:v>
      </x:c>
      <x:c r="C43" s="10" t="n">
        <x:v>46339.5</x:v>
      </x:c>
      <x:c r="D43" s="11" t="s">
        <x:v>33</x:v>
      </x:c>
      <x:c r="E43" s="12" t="n">
        <x:v>0.5</x:v>
      </x:c>
      <x:c r="F43" s="11" t="s">
        <x:v>34</x:v>
      </x:c>
      <x:c r="G43" s="13" t="s">
        <x:v>142</x:v>
      </x:c>
      <x:c r="H43" s="13" t="s">
        <x:v>102</x:v>
      </x:c>
      <x:c r="I43" s="13" t="s">
        <x:v>37</x:v>
      </x:c>
      <x:c r="J43" s="13" t="str">
        <x:v>Planejada</x:v>
      </x:c>
      <x:c r="K43" s="13" t="str">
        <x:v>Planejada</x:v>
      </x:c>
      <x:c r="L43" s="13" t="s">
        <x:v>38</x:v>
      </x:c>
      <x:c r="M43" s="13" t="str">
        <x:v>Planejada</x:v>
      </x:c>
      <x:c r="N43" s="14" t="str">
        <x:v>Não se aplica</x:v>
      </x:c>
      <x:c r="O43" s="53" t="str">
        <x:v>Não se aplica</x:v>
      </x:c>
      <x:c r="P43" s="51"/>
    </x:row>
    <x:row r="44" ht="64.5" hidden="0" customHeight="1">
      <x:c r="B44" s="16" t="s">
        <x:v>143</x:v>
      </x:c>
      <x:c r="C44" s="17" t="n">
        <x:v>46340.5</x:v>
      </x:c>
      <x:c r="D44" s="18" t="s">
        <x:v>40</x:v>
      </x:c>
      <x:c r="E44" s="19" t="n">
        <x:v>0.416666666666667</x:v>
      </x:c>
      <x:c r="F44" s="18" t="s">
        <x:v>20</x:v>
      </x:c>
      <x:c r="G44" s="20" t="s">
        <x:v>144</x:v>
      </x:c>
      <x:c r="H44" s="20" t="s">
        <x:v>105</x:v>
      </x:c>
      <x:c r="I44" s="20" t="s">
        <x:v>106</x:v>
      </x:c>
      <x:c r="J44" s="20" t="str">
        <x:v>Planejada</x:v>
      </x:c>
      <x:c r="K44" s="20" t="str">
        <x:v>Planejada</x:v>
      </x:c>
      <x:c r="L44" s="20" t="s">
        <x:v>24</x:v>
      </x:c>
      <x:c r="M44" s="20" t="str">
        <x:v>Planejada</x:v>
      </x:c>
      <x:c r="N44" s="21" t="str">
        <x:v>Não se aplica</x:v>
      </x:c>
      <x:c r="O44" s="55" t="str">
        <x:v>Não se aplica</x:v>
      </x:c>
      <x:c r="P44" s="51"/>
    </x:row>
    <x:row r="45" ht="64.5" hidden="0" customHeight="1">
      <x:c r="B45" s="22" t="s">
        <x:v>145</x:v>
      </x:c>
      <x:c r="C45" s="23" t="n">
        <x:v>46342.5</x:v>
      </x:c>
      <x:c r="D45" s="24" t="s">
        <x:v>19</x:v>
      </x:c>
      <x:c r="E45" s="25" t="n">
        <x:v>0.5</x:v>
      </x:c>
      <x:c r="F45" s="24" t="s">
        <x:v>34</x:v>
      </x:c>
      <x:c r="G45" s="26" t="s">
        <x:v>146</x:v>
      </x:c>
      <x:c r="H45" s="26" t="s">
        <x:v>94</x:v>
      </x:c>
      <x:c r="I45" s="26" t="s">
        <x:v>109</x:v>
      </x:c>
      <x:c r="J45" s="26" t="str">
        <x:v>Planejada</x:v>
      </x:c>
      <x:c r="K45" s="26" t="str">
        <x:v>Planejada</x:v>
      </x:c>
      <x:c r="L45" s="26" t="s">
        <x:v>38</x:v>
      </x:c>
      <x:c r="M45" s="26" t="str">
        <x:v>Planejada</x:v>
      </x:c>
      <x:c r="N45" s="27" t="str">
        <x:v>Não se aplica</x:v>
      </x:c>
      <x:c r="O45" s="54" t="str">
        <x:v>Não se aplica</x:v>
      </x:c>
      <x:c r="P45" s="51"/>
    </x:row>
    <x:row r="46" ht="64.5" hidden="0" customHeight="1">
      <x:c r="B46" s="16" t="s">
        <x:v>147</x:v>
      </x:c>
      <x:c r="C46" s="17" t="n">
        <x:v>46344.5</x:v>
      </x:c>
      <x:c r="D46" s="18" t="s">
        <x:v>26</x:v>
      </x:c>
      <x:c r="E46" s="19" t="n">
        <x:v>0.770833333333333</x:v>
      </x:c>
      <x:c r="F46" s="18" t="s">
        <x:v>27</x:v>
      </x:c>
      <x:c r="G46" s="20" t="s">
        <x:v>148</x:v>
      </x:c>
      <x:c r="H46" s="20" t="s">
        <x:v>98</x:v>
      </x:c>
      <x:c r="I46" s="20" t="s">
        <x:v>112</x:v>
      </x:c>
      <x:c r="J46" s="20" t="str">
        <x:v>Planejada</x:v>
      </x:c>
      <x:c r="K46" s="20" t="str">
        <x:v>Planejada</x:v>
      </x:c>
      <x:c r="L46" s="20" t="s">
        <x:v>31</x:v>
      </x:c>
      <x:c r="M46" s="20" t="str">
        <x:v>Planejada</x:v>
      </x:c>
      <x:c r="N46" s="20" t="str">
        <x:v>Planejada</x:v>
      </x:c>
      <x:c r="O46" s="55" t="str">
        <x:v>Planejada</x:v>
      </x:c>
      <x:c r="P46" s="51"/>
    </x:row>
    <x:row r="47" ht="64.5" hidden="0" customHeight="1">
      <x:c r="B47" s="9" t="s">
        <x:v>149</x:v>
      </x:c>
      <x:c r="C47" s="10" t="n">
        <x:v>46346.5</x:v>
      </x:c>
      <x:c r="D47" s="11" t="s">
        <x:v>33</x:v>
      </x:c>
      <x:c r="E47" s="12" t="n">
        <x:v>0.5</x:v>
      </x:c>
      <x:c r="F47" s="11" t="s">
        <x:v>34</x:v>
      </x:c>
      <x:c r="G47" s="13" t="s">
        <x:v>150</x:v>
      </x:c>
      <x:c r="H47" s="13" t="s">
        <x:v>102</x:v>
      </x:c>
      <x:c r="I47" s="13" t="s">
        <x:v>115</x:v>
      </x:c>
      <x:c r="J47" s="13" t="str">
        <x:v>Planejada</x:v>
      </x:c>
      <x:c r="K47" s="13" t="str">
        <x:v>Planejada</x:v>
      </x:c>
      <x:c r="L47" s="13" t="s">
        <x:v>38</x:v>
      </x:c>
      <x:c r="M47" s="13" t="str">
        <x:v>Planejada</x:v>
      </x:c>
      <x:c r="N47" s="14" t="str">
        <x:v>Não se aplica</x:v>
      </x:c>
      <x:c r="O47" s="53" t="str">
        <x:v>Não se aplica</x:v>
      </x:c>
      <x:c r="P47" s="51"/>
    </x:row>
    <x:row r="48" ht="64.5" hidden="0" customHeight="1">
      <x:c r="B48" s="16" t="s">
        <x:v>151</x:v>
      </x:c>
      <x:c r="C48" s="17" t="n">
        <x:v>46347.5</x:v>
      </x:c>
      <x:c r="D48" s="18" t="s">
        <x:v>40</x:v>
      </x:c>
      <x:c r="E48" s="19" t="n">
        <x:v>0.416666666666667</x:v>
      </x:c>
      <x:c r="F48" s="18" t="s">
        <x:v>20</x:v>
      </x:c>
      <x:c r="G48" s="20" t="s">
        <x:v>152</x:v>
      </x:c>
      <x:c r="H48" s="20" t="s">
        <x:v>105</x:v>
      </x:c>
      <x:c r="I48" s="20" t="s">
        <x:v>106</x:v>
      </x:c>
      <x:c r="J48" s="20" t="str">
        <x:v>Planejada</x:v>
      </x:c>
      <x:c r="K48" s="20" t="str">
        <x:v>Planejada</x:v>
      </x:c>
      <x:c r="L48" s="20" t="s">
        <x:v>24</x:v>
      </x:c>
      <x:c r="M48" s="20" t="str">
        <x:v>Planejada</x:v>
      </x:c>
      <x:c r="N48" s="21" t="str">
        <x:v>Não se aplica</x:v>
      </x:c>
      <x:c r="O48" s="55" t="str">
        <x:v>Não se aplica</x:v>
      </x:c>
      <x:c r="P48" s="51"/>
    </x:row>
    <x:row r="49" ht="64.5" hidden="0" customHeight="1">
      <x:c r="B49" s="22" t="s">
        <x:v>153</x:v>
      </x:c>
      <x:c r="C49" s="23" t="n">
        <x:v>46349.5</x:v>
      </x:c>
      <x:c r="D49" s="24" t="s">
        <x:v>19</x:v>
      </x:c>
      <x:c r="E49" s="25" t="n">
        <x:v>0.5</x:v>
      </x:c>
      <x:c r="F49" s="24" t="s">
        <x:v>34</x:v>
      </x:c>
      <x:c r="G49" s="26" t="s">
        <x:v>154</x:v>
      </x:c>
      <x:c r="H49" s="26" t="s">
        <x:v>94</x:v>
      </x:c>
      <x:c r="I49" s="26" t="s">
        <x:v>59</x:v>
      </x:c>
      <x:c r="J49" s="26" t="str">
        <x:v>Planejada</x:v>
      </x:c>
      <x:c r="K49" s="26" t="str">
        <x:v>Planejada</x:v>
      </x:c>
      <x:c r="L49" s="26" t="s">
        <x:v>38</x:v>
      </x:c>
      <x:c r="M49" s="26" t="str">
        <x:v>Planejada</x:v>
      </x:c>
      <x:c r="N49" s="27" t="str">
        <x:v>Não se aplica</x:v>
      </x:c>
      <x:c r="O49" s="54" t="str">
        <x:v>Não se aplica</x:v>
      </x:c>
      <x:c r="P49" s="51"/>
    </x:row>
    <x:row r="50" ht="64.5" hidden="0" customHeight="1">
      <x:c r="B50" s="16" t="s">
        <x:v>155</x:v>
      </x:c>
      <x:c r="C50" s="17" t="n">
        <x:v>46351.5</x:v>
      </x:c>
      <x:c r="D50" s="18" t="s">
        <x:v>26</x:v>
      </x:c>
      <x:c r="E50" s="19" t="n">
        <x:v>0.770833333333333</x:v>
      </x:c>
      <x:c r="F50" s="18" t="s">
        <x:v>27</x:v>
      </x:c>
      <x:c r="G50" s="20" t="s">
        <x:v>156</x:v>
      </x:c>
      <x:c r="H50" s="20" t="s">
        <x:v>98</x:v>
      </x:c>
      <x:c r="I50" s="20" t="s">
        <x:v>59</x:v>
      </x:c>
      <x:c r="J50" s="20" t="str">
        <x:v>Planejada</x:v>
      </x:c>
      <x:c r="K50" s="20" t="str">
        <x:v>Planejada</x:v>
      </x:c>
      <x:c r="L50" s="20" t="s">
        <x:v>31</x:v>
      </x:c>
      <x:c r="M50" s="20" t="str">
        <x:v>Planejada</x:v>
      </x:c>
      <x:c r="N50" s="20" t="str">
        <x:v>Planejada</x:v>
      </x:c>
      <x:c r="O50" s="55" t="str">
        <x:v>Planejada</x:v>
      </x:c>
      <x:c r="P50" s="51"/>
    </x:row>
    <x:row r="51" ht="64.5" hidden="0" customHeight="1">
      <x:c r="B51" s="9" t="s">
        <x:v>157</x:v>
      </x:c>
      <x:c r="C51" s="10" t="n">
        <x:v>46353.5</x:v>
      </x:c>
      <x:c r="D51" s="11" t="s">
        <x:v>33</x:v>
      </x:c>
      <x:c r="E51" s="12" t="n">
        <x:v>0.5</x:v>
      </x:c>
      <x:c r="F51" s="11" t="s">
        <x:v>34</x:v>
      </x:c>
      <x:c r="G51" s="13" t="s">
        <x:v>158</x:v>
      </x:c>
      <x:c r="H51" s="13" t="s">
        <x:v>102</x:v>
      </x:c>
      <x:c r="I51" s="13" t="s">
        <x:v>47</x:v>
      </x:c>
      <x:c r="J51" s="13" t="str">
        <x:v>Planejada</x:v>
      </x:c>
      <x:c r="K51" s="13" t="str">
        <x:v>Planejada</x:v>
      </x:c>
      <x:c r="L51" s="13" t="s">
        <x:v>38</x:v>
      </x:c>
      <x:c r="M51" s="13" t="str">
        <x:v>Planejada</x:v>
      </x:c>
      <x:c r="N51" s="14" t="str">
        <x:v>Não se aplica</x:v>
      </x:c>
      <x:c r="O51" s="53" t="str">
        <x:v>Não se aplica</x:v>
      </x:c>
      <x:c r="P51" s="51"/>
    </x:row>
    <x:row r="52" ht="64.5" hidden="0" customHeight="1">
      <x:c r="B52" s="16" t="s">
        <x:v>159</x:v>
      </x:c>
      <x:c r="C52" s="17" t="n">
        <x:v>46354.5</x:v>
      </x:c>
      <x:c r="D52" s="18" t="s">
        <x:v>40</x:v>
      </x:c>
      <x:c r="E52" s="19" t="n">
        <x:v>0.416666666666667</x:v>
      </x:c>
      <x:c r="F52" s="18" t="s">
        <x:v>20</x:v>
      </x:c>
      <x:c r="G52" s="20" t="s">
        <x:v>160</x:v>
      </x:c>
      <x:c r="H52" s="20" t="s">
        <x:v>105</x:v>
      </x:c>
      <x:c r="I52" s="20" t="s">
        <x:v>106</x:v>
      </x:c>
      <x:c r="J52" s="20" t="str">
        <x:v>Planejada</x:v>
      </x:c>
      <x:c r="K52" s="20" t="str">
        <x:v>Planejada</x:v>
      </x:c>
      <x:c r="L52" s="20" t="s">
        <x:v>24</x:v>
      </x:c>
      <x:c r="M52" s="20" t="str">
        <x:v>Planejada</x:v>
      </x:c>
      <x:c r="N52" s="21" t="str">
        <x:v>Não se aplica</x:v>
      </x:c>
      <x:c r="O52" s="55" t="str">
        <x:v>Não se aplica</x:v>
      </x:c>
      <x:c r="P52" s="51"/>
    </x:row>
    <x:row r="53" ht="64.5" hidden="0" customHeight="1">
      <x:c r="B53" s="22" t="s">
        <x:v>161</x:v>
      </x:c>
      <x:c r="C53" s="23" t="n">
        <x:v>46356.5</x:v>
      </x:c>
      <x:c r="D53" s="24" t="s">
        <x:v>19</x:v>
      </x:c>
      <x:c r="E53" s="25" t="n">
        <x:v>0.5</x:v>
      </x:c>
      <x:c r="F53" s="24" t="s">
        <x:v>34</x:v>
      </x:c>
      <x:c r="G53" s="26" t="s">
        <x:v>162</x:v>
      </x:c>
      <x:c r="H53" s="26" t="s">
        <x:v>94</x:v>
      </x:c>
      <x:c r="I53" s="26" t="s">
        <x:v>128</x:v>
      </x:c>
      <x:c r="J53" s="26" t="str">
        <x:v>Planejada</x:v>
      </x:c>
      <x:c r="K53" s="26" t="str">
        <x:v>Planejada</x:v>
      </x:c>
      <x:c r="L53" s="26" t="s">
        <x:v>38</x:v>
      </x:c>
      <x:c r="M53" s="26" t="str">
        <x:v>Planejada</x:v>
      </x:c>
      <x:c r="N53" s="27" t="str">
        <x:v>Não se aplica</x:v>
      </x:c>
      <x:c r="O53" s="54" t="str">
        <x:v>Não se aplica</x:v>
      </x:c>
      <x:c r="P53" s="51"/>
    </x:row>
    <x:row r="54" ht="64.5" hidden="0" customHeight="1">
      <x:c r="B54" s="16" t="s">
        <x:v>163</x:v>
      </x:c>
      <x:c r="C54" s="17" t="n">
        <x:v>46358.5</x:v>
      </x:c>
      <x:c r="D54" s="18" t="s">
        <x:v>26</x:v>
      </x:c>
      <x:c r="E54" s="19" t="n">
        <x:v>0.770833333333333</x:v>
      </x:c>
      <x:c r="F54" s="18" t="s">
        <x:v>27</x:v>
      </x:c>
      <x:c r="G54" s="20" t="s">
        <x:v>164</x:v>
      </x:c>
      <x:c r="H54" s="20" t="s">
        <x:v>98</x:v>
      </x:c>
      <x:c r="I54" s="20" t="s">
        <x:v>165</x:v>
      </x:c>
      <x:c r="J54" s="20" t="str">
        <x:v>Planejada</x:v>
      </x:c>
      <x:c r="K54" s="20" t="str">
        <x:v>Planejada</x:v>
      </x:c>
      <x:c r="L54" s="20" t="s">
        <x:v>31</x:v>
      </x:c>
      <x:c r="M54" s="20" t="str">
        <x:v>Planejada</x:v>
      </x:c>
      <x:c r="N54" s="20" t="str">
        <x:v>Planejada</x:v>
      </x:c>
      <x:c r="O54" s="55" t="str">
        <x:v>Planejada</x:v>
      </x:c>
      <x:c r="P54" s="51"/>
    </x:row>
    <x:row r="55" ht="64.5" hidden="0" customHeight="1">
      <x:c r="B55" s="9" t="s">
        <x:v>166</x:v>
      </x:c>
      <x:c r="C55" s="10" t="n">
        <x:v>46360.5</x:v>
      </x:c>
      <x:c r="D55" s="11" t="s">
        <x:v>33</x:v>
      </x:c>
      <x:c r="E55" s="12" t="n">
        <x:v>0.5</x:v>
      </x:c>
      <x:c r="F55" s="11" t="s">
        <x:v>34</x:v>
      </x:c>
      <x:c r="G55" s="13" t="s">
        <x:v>167</x:v>
      </x:c>
      <x:c r="H55" s="13" t="s">
        <x:v>102</x:v>
      </x:c>
      <x:c r="I55" s="13" t="s">
        <x:v>133</x:v>
      </x:c>
      <x:c r="J55" s="13" t="str">
        <x:v>Planejada</x:v>
      </x:c>
      <x:c r="K55" s="13" t="str">
        <x:v>Planejada</x:v>
      </x:c>
      <x:c r="L55" s="13" t="s">
        <x:v>38</x:v>
      </x:c>
      <x:c r="M55" s="13" t="str">
        <x:v>Planejada</x:v>
      </x:c>
      <x:c r="N55" s="14" t="str">
        <x:v>Não se aplica</x:v>
      </x:c>
      <x:c r="O55" s="53" t="str">
        <x:v>Não se aplica</x:v>
      </x:c>
      <x:c r="P55" s="51"/>
    </x:row>
    <x:row r="56" ht="64.5" hidden="0" customHeight="1">
      <x:c r="B56" s="16" t="s">
        <x:v>168</x:v>
      </x:c>
      <x:c r="C56" s="17" t="n">
        <x:v>46361.5</x:v>
      </x:c>
      <x:c r="D56" s="18" t="s">
        <x:v>40</x:v>
      </x:c>
      <x:c r="E56" s="19" t="n">
        <x:v>0.416666666666667</x:v>
      </x:c>
      <x:c r="F56" s="18" t="s">
        <x:v>20</x:v>
      </x:c>
      <x:c r="G56" s="20" t="s">
        <x:v>169</x:v>
      </x:c>
      <x:c r="H56" s="20" t="s">
        <x:v>136</x:v>
      </x:c>
      <x:c r="I56" s="20" t="s">
        <x:v>165</x:v>
      </x:c>
      <x:c r="J56" s="20" t="str">
        <x:v>Planejada</x:v>
      </x:c>
      <x:c r="K56" s="20" t="str">
        <x:v>Planejada</x:v>
      </x:c>
      <x:c r="L56" s="20" t="s">
        <x:v>24</x:v>
      </x:c>
      <x:c r="M56" s="20" t="str">
        <x:v>Planejada</x:v>
      </x:c>
      <x:c r="N56" s="21" t="str">
        <x:v>Não se aplica</x:v>
      </x:c>
      <x:c r="O56" s="55" t="str">
        <x:v>Não se aplica</x:v>
      </x:c>
      <x:c r="P56" s="51"/>
    </x:row>
    <x:row r="57" ht="64.5" hidden="0" customHeight="1">
      <x:c r="B57" s="22" t="s">
        <x:v>170</x:v>
      </x:c>
      <x:c r="C57" s="23" t="n">
        <x:v>46363.5</x:v>
      </x:c>
      <x:c r="D57" s="24" t="s">
        <x:v>19</x:v>
      </x:c>
      <x:c r="E57" s="25" t="n">
        <x:v>0.5</x:v>
      </x:c>
      <x:c r="F57" s="24" t="s">
        <x:v>34</x:v>
      </x:c>
      <x:c r="G57" s="26" t="s">
        <x:v>171</x:v>
      </x:c>
      <x:c r="H57" s="26" t="s">
        <x:v>94</x:v>
      </x:c>
      <x:c r="I57" s="26" t="s">
        <x:v>95</x:v>
      </x:c>
      <x:c r="J57" s="26" t="str">
        <x:v>Planejada</x:v>
      </x:c>
      <x:c r="K57" s="26" t="str">
        <x:v>Planejada</x:v>
      </x:c>
      <x:c r="L57" s="26" t="s">
        <x:v>38</x:v>
      </x:c>
      <x:c r="M57" s="26" t="str">
        <x:v>Planejada</x:v>
      </x:c>
      <x:c r="N57" s="27" t="str">
        <x:v>Não se aplica</x:v>
      </x:c>
      <x:c r="O57" s="54" t="str">
        <x:v>Não se aplica</x:v>
      </x:c>
      <x:c r="P57" s="51"/>
    </x:row>
    <x:row r="58" ht="64.5" hidden="0" customHeight="1">
      <x:c r="B58" s="16" t="s">
        <x:v>172</x:v>
      </x:c>
      <x:c r="C58" s="17" t="n">
        <x:v>46365.5</x:v>
      </x:c>
      <x:c r="D58" s="18" t="s">
        <x:v>26</x:v>
      </x:c>
      <x:c r="E58" s="19" t="n">
        <x:v>0.770833333333333</x:v>
      </x:c>
      <x:c r="F58" s="18" t="s">
        <x:v>27</x:v>
      </x:c>
      <x:c r="G58" s="20" t="s">
        <x:v>173</x:v>
      </x:c>
      <x:c r="H58" s="20" t="s">
        <x:v>98</x:v>
      </x:c>
      <x:c r="I58" s="20" t="s">
        <x:v>99</x:v>
      </x:c>
      <x:c r="J58" s="20" t="str">
        <x:v>Planejada</x:v>
      </x:c>
      <x:c r="K58" s="20" t="str">
        <x:v>Planejada</x:v>
      </x:c>
      <x:c r="L58" s="20" t="s">
        <x:v>31</x:v>
      </x:c>
      <x:c r="M58" s="20" t="str">
        <x:v>Planejada</x:v>
      </x:c>
      <x:c r="N58" s="20" t="str">
        <x:v>Planejada</x:v>
      </x:c>
      <x:c r="O58" s="55" t="str">
        <x:v>Planejada</x:v>
      </x:c>
      <x:c r="P58" s="51"/>
    </x:row>
    <x:row r="59" ht="64.5" hidden="0" customHeight="1">
      <x:c r="B59" s="9" t="s">
        <x:v>174</x:v>
      </x:c>
      <x:c r="C59" s="10" t="n">
        <x:v>46367.5</x:v>
      </x:c>
      <x:c r="D59" s="11" t="s">
        <x:v>33</x:v>
      </x:c>
      <x:c r="E59" s="12" t="n">
        <x:v>0.5</x:v>
      </x:c>
      <x:c r="F59" s="11" t="s">
        <x:v>34</x:v>
      </x:c>
      <x:c r="G59" s="13" t="s">
        <x:v>175</x:v>
      </x:c>
      <x:c r="H59" s="13" t="s">
        <x:v>102</x:v>
      </x:c>
      <x:c r="I59" s="13" t="s">
        <x:v>37</x:v>
      </x:c>
      <x:c r="J59" s="13" t="str">
        <x:v>Planejada</x:v>
      </x:c>
      <x:c r="K59" s="13" t="str">
        <x:v>Planejada</x:v>
      </x:c>
      <x:c r="L59" s="13" t="s">
        <x:v>38</x:v>
      </x:c>
      <x:c r="M59" s="13" t="str">
        <x:v>Planejada</x:v>
      </x:c>
      <x:c r="N59" s="14" t="str">
        <x:v>Não se aplica</x:v>
      </x:c>
      <x:c r="O59" s="53" t="str">
        <x:v>Não se aplica</x:v>
      </x:c>
      <x:c r="P59" s="51"/>
    </x:row>
    <x:row r="60" ht="64.5" hidden="0" customHeight="1">
      <x:c r="B60" s="16" t="s">
        <x:v>176</x:v>
      </x:c>
      <x:c r="C60" s="17" t="n">
        <x:v>46368.5</x:v>
      </x:c>
      <x:c r="D60" s="18" t="s">
        <x:v>40</x:v>
      </x:c>
      <x:c r="E60" s="19" t="n">
        <x:v>0.416666666666667</x:v>
      </x:c>
      <x:c r="F60" s="18" t="s">
        <x:v>20</x:v>
      </x:c>
      <x:c r="G60" s="20" t="s">
        <x:v>177</x:v>
      </x:c>
      <x:c r="H60" s="20" t="s">
        <x:v>105</x:v>
      </x:c>
      <x:c r="I60" s="20" t="s">
        <x:v>106</x:v>
      </x:c>
      <x:c r="J60" s="20" t="str">
        <x:v>Planejada</x:v>
      </x:c>
      <x:c r="K60" s="20" t="str">
        <x:v>Planejada</x:v>
      </x:c>
      <x:c r="L60" s="20" t="s">
        <x:v>24</x:v>
      </x:c>
      <x:c r="M60" s="20" t="str">
        <x:v>Planejada</x:v>
      </x:c>
      <x:c r="N60" s="21" t="str">
        <x:v>Não se aplica</x:v>
      </x:c>
      <x:c r="O60" s="55" t="str">
        <x:v>Não se aplica</x:v>
      </x:c>
      <x:c r="P60" s="51"/>
    </x:row>
    <x:row r="61" ht="64.5" hidden="0" customHeight="1">
      <x:c r="B61" s="22" t="s">
        <x:v>178</x:v>
      </x:c>
      <x:c r="C61" s="23" t="n">
        <x:v>46370.5</x:v>
      </x:c>
      <x:c r="D61" s="24" t="s">
        <x:v>19</x:v>
      </x:c>
      <x:c r="E61" s="25" t="n">
        <x:v>0.5</x:v>
      </x:c>
      <x:c r="F61" s="24" t="s">
        <x:v>34</x:v>
      </x:c>
      <x:c r="G61" s="26" t="s">
        <x:v>179</x:v>
      </x:c>
      <x:c r="H61" s="26" t="s">
        <x:v>94</x:v>
      </x:c>
      <x:c r="I61" s="26" t="s">
        <x:v>109</x:v>
      </x:c>
      <x:c r="J61" s="26" t="str">
        <x:v>Planejada</x:v>
      </x:c>
      <x:c r="K61" s="26" t="str">
        <x:v>Planejada</x:v>
      </x:c>
      <x:c r="L61" s="26" t="s">
        <x:v>38</x:v>
      </x:c>
      <x:c r="M61" s="26" t="str">
        <x:v>Planejada</x:v>
      </x:c>
      <x:c r="N61" s="27" t="str">
        <x:v>Não se aplica</x:v>
      </x:c>
      <x:c r="O61" s="54" t="str">
        <x:v>Não se aplica</x:v>
      </x:c>
      <x:c r="P61" s="51"/>
    </x:row>
    <x:row r="62" ht="64.5" hidden="0" customHeight="1">
      <x:c r="B62" s="16" t="s">
        <x:v>180</x:v>
      </x:c>
      <x:c r="C62" s="17" t="n">
        <x:v>46372.5</x:v>
      </x:c>
      <x:c r="D62" s="18" t="s">
        <x:v>26</x:v>
      </x:c>
      <x:c r="E62" s="19" t="n">
        <x:v>0.770833333333333</x:v>
      </x:c>
      <x:c r="F62" s="18" t="s">
        <x:v>27</x:v>
      </x:c>
      <x:c r="G62" s="20" t="s">
        <x:v>181</x:v>
      </x:c>
      <x:c r="H62" s="20" t="s">
        <x:v>98</x:v>
      </x:c>
      <x:c r="I62" s="20" t="s">
        <x:v>112</x:v>
      </x:c>
      <x:c r="J62" s="20" t="str">
        <x:v>Planejada</x:v>
      </x:c>
      <x:c r="K62" s="20" t="str">
        <x:v>Planejada</x:v>
      </x:c>
      <x:c r="L62" s="20" t="s">
        <x:v>31</x:v>
      </x:c>
      <x:c r="M62" s="20" t="str">
        <x:v>Planejada</x:v>
      </x:c>
      <x:c r="N62" s="20" t="str">
        <x:v>Planejada</x:v>
      </x:c>
      <x:c r="O62" s="55" t="str">
        <x:v>Planejada</x:v>
      </x:c>
      <x:c r="P62" s="51"/>
    </x:row>
    <x:row r="63" ht="64.5" hidden="0" customHeight="1">
      <x:c r="B63" s="9" t="s">
        <x:v>182</x:v>
      </x:c>
      <x:c r="C63" s="10" t="n">
        <x:v>46374.5</x:v>
      </x:c>
      <x:c r="D63" s="11" t="s">
        <x:v>33</x:v>
      </x:c>
      <x:c r="E63" s="12" t="n">
        <x:v>0.5</x:v>
      </x:c>
      <x:c r="F63" s="11" t="s">
        <x:v>34</x:v>
      </x:c>
      <x:c r="G63" s="13" t="s">
        <x:v>183</x:v>
      </x:c>
      <x:c r="H63" s="13" t="s">
        <x:v>102</x:v>
      </x:c>
      <x:c r="I63" s="13" t="s">
        <x:v>115</x:v>
      </x:c>
      <x:c r="J63" s="13" t="str">
        <x:v>Planejada</x:v>
      </x:c>
      <x:c r="K63" s="13" t="str">
        <x:v>Planejada</x:v>
      </x:c>
      <x:c r="L63" s="13" t="s">
        <x:v>38</x:v>
      </x:c>
      <x:c r="M63" s="13" t="str">
        <x:v>Planejada</x:v>
      </x:c>
      <x:c r="N63" s="14" t="str">
        <x:v>Não se aplica</x:v>
      </x:c>
      <x:c r="O63" s="53" t="str">
        <x:v>Não se aplica</x:v>
      </x:c>
      <x:c r="P63" s="51"/>
    </x:row>
    <x:row r="64" ht="64.5" hidden="0" customHeight="1">
      <x:c r="B64" s="16" t="s">
        <x:v>184</x:v>
      </x:c>
      <x:c r="C64" s="17" t="n">
        <x:v>46375.5</x:v>
      </x:c>
      <x:c r="D64" s="18" t="s">
        <x:v>40</x:v>
      </x:c>
      <x:c r="E64" s="19" t="n">
        <x:v>0.416666666666667</x:v>
      </x:c>
      <x:c r="F64" s="18" t="s">
        <x:v>20</x:v>
      </x:c>
      <x:c r="G64" s="20" t="s">
        <x:v>185</x:v>
      </x:c>
      <x:c r="H64" s="20" t="s">
        <x:v>105</x:v>
      </x:c>
      <x:c r="I64" s="20" t="s">
        <x:v>106</x:v>
      </x:c>
      <x:c r="J64" s="20" t="str">
        <x:v>Planejada</x:v>
      </x:c>
      <x:c r="K64" s="20" t="str">
        <x:v>Planejada</x:v>
      </x:c>
      <x:c r="L64" s="20" t="s">
        <x:v>24</x:v>
      </x:c>
      <x:c r="M64" s="20" t="str">
        <x:v>Planejada</x:v>
      </x:c>
      <x:c r="N64" s="21" t="str">
        <x:v>Não se aplica</x:v>
      </x:c>
      <x:c r="O64" s="55" t="str">
        <x:v>Não se aplica</x:v>
      </x:c>
      <x:c r="P64" s="51"/>
    </x:row>
    <x:row r="65" ht="64.5" hidden="0" customHeight="1">
      <x:c r="B65" s="22" t="s">
        <x:v>186</x:v>
      </x:c>
      <x:c r="C65" s="23" t="n">
        <x:v>46377.5</x:v>
      </x:c>
      <x:c r="D65" s="24" t="s">
        <x:v>19</x:v>
      </x:c>
      <x:c r="E65" s="25" t="n">
        <x:v>0.5</x:v>
      </x:c>
      <x:c r="F65" s="24" t="s">
        <x:v>34</x:v>
      </x:c>
      <x:c r="G65" s="26" t="s">
        <x:v>187</x:v>
      </x:c>
      <x:c r="H65" s="26" t="s">
        <x:v>94</x:v>
      </x:c>
      <x:c r="I65" s="26" t="s">
        <x:v>59</x:v>
      </x:c>
      <x:c r="J65" s="26" t="str">
        <x:v>Planejada</x:v>
      </x:c>
      <x:c r="K65" s="26" t="str">
        <x:v>Planejada</x:v>
      </x:c>
      <x:c r="L65" s="26" t="s">
        <x:v>38</x:v>
      </x:c>
      <x:c r="M65" s="26" t="str">
        <x:v>Planejada</x:v>
      </x:c>
      <x:c r="N65" s="27" t="str">
        <x:v>Não se aplica</x:v>
      </x:c>
      <x:c r="O65" s="54" t="str">
        <x:v>Não se aplica</x:v>
      </x:c>
      <x:c r="P65" s="51"/>
    </x:row>
    <x:row r="66" ht="64.5" hidden="0" customHeight="1">
      <x:c r="B66" s="16" t="s">
        <x:v>188</x:v>
      </x:c>
      <x:c r="C66" s="17" t="n">
        <x:v>46379.5</x:v>
      </x:c>
      <x:c r="D66" s="18" t="s">
        <x:v>26</x:v>
      </x:c>
      <x:c r="E66" s="19" t="n">
        <x:v>0.770833333333333</x:v>
      </x:c>
      <x:c r="F66" s="18" t="s">
        <x:v>27</x:v>
      </x:c>
      <x:c r="G66" s="20" t="s">
        <x:v>189</x:v>
      </x:c>
      <x:c r="H66" s="20" t="s">
        <x:v>98</x:v>
      </x:c>
      <x:c r="I66" s="20" t="s">
        <x:v>59</x:v>
      </x:c>
      <x:c r="J66" s="20" t="str">
        <x:v>Planejada</x:v>
      </x:c>
      <x:c r="K66" s="20" t="str">
        <x:v>Planejada</x:v>
      </x:c>
      <x:c r="L66" s="20" t="s">
        <x:v>31</x:v>
      </x:c>
      <x:c r="M66" s="20" t="str">
        <x:v>Planejada</x:v>
      </x:c>
      <x:c r="N66" s="20" t="str">
        <x:v>Planejada</x:v>
      </x:c>
      <x:c r="O66" s="55" t="str">
        <x:v>Planejada</x:v>
      </x:c>
      <x:c r="P66" s="51"/>
    </x:row>
    <x:row r="67" ht="64.5" hidden="0" customHeight="1">
      <x:c r="B67" s="9" t="s">
        <x:v>190</x:v>
      </x:c>
      <x:c r="C67" s="10" t="n">
        <x:v>46381.5</x:v>
      </x:c>
      <x:c r="D67" s="11" t="s">
        <x:v>33</x:v>
      </x:c>
      <x:c r="E67" s="12" t="n">
        <x:v>0.5</x:v>
      </x:c>
      <x:c r="F67" s="11" t="s">
        <x:v>34</x:v>
      </x:c>
      <x:c r="G67" s="13" t="s">
        <x:v>191</x:v>
      </x:c>
      <x:c r="H67" s="13" t="s">
        <x:v>102</x:v>
      </x:c>
      <x:c r="I67" s="13" t="s">
        <x:v>47</x:v>
      </x:c>
      <x:c r="J67" s="13" t="str">
        <x:v>Planejada</x:v>
      </x:c>
      <x:c r="K67" s="13" t="str">
        <x:v>Planejada</x:v>
      </x:c>
      <x:c r="L67" s="13" t="s">
        <x:v>38</x:v>
      </x:c>
      <x:c r="M67" s="13" t="str">
        <x:v>Planejada</x:v>
      </x:c>
      <x:c r="N67" s="14" t="str">
        <x:v>Não se aplica</x:v>
      </x:c>
      <x:c r="O67" s="53" t="str">
        <x:v>Não se aplica</x:v>
      </x:c>
      <x:c r="P67" s="51"/>
    </x:row>
    <x:row r="68" ht="64.5" hidden="0" customHeight="1">
      <x:c r="B68" s="16" t="s">
        <x:v>192</x:v>
      </x:c>
      <x:c r="C68" s="17" t="n">
        <x:v>46382.5</x:v>
      </x:c>
      <x:c r="D68" s="18" t="s">
        <x:v>40</x:v>
      </x:c>
      <x:c r="E68" s="19" t="n">
        <x:v>0.416666666666667</x:v>
      </x:c>
      <x:c r="F68" s="18" t="s">
        <x:v>20</x:v>
      </x:c>
      <x:c r="G68" s="20" t="s">
        <x:v>193</x:v>
      </x:c>
      <x:c r="H68" s="20" t="s">
        <x:v>105</x:v>
      </x:c>
      <x:c r="I68" s="20" t="s">
        <x:v>106</x:v>
      </x:c>
      <x:c r="J68" s="20" t="str">
        <x:v>Planejada</x:v>
      </x:c>
      <x:c r="K68" s="20" t="str">
        <x:v>Planejada</x:v>
      </x:c>
      <x:c r="L68" s="20" t="s">
        <x:v>24</x:v>
      </x:c>
      <x:c r="M68" s="20" t="str">
        <x:v>Planejada</x:v>
      </x:c>
      <x:c r="N68" s="21" t="str">
        <x:v>Não se aplica</x:v>
      </x:c>
      <x:c r="O68" s="55" t="str">
        <x:v>Não se aplica</x:v>
      </x:c>
      <x:c r="P68" s="51"/>
    </x:row>
    <x:row r="69" ht="64.5" hidden="0" customHeight="1">
      <x:c r="B69" s="22" t="s">
        <x:v>194</x:v>
      </x:c>
      <x:c r="C69" s="23" t="n">
        <x:v>46384.5</x:v>
      </x:c>
      <x:c r="D69" s="24" t="s">
        <x:v>19</x:v>
      </x:c>
      <x:c r="E69" s="25" t="n">
        <x:v>0.5</x:v>
      </x:c>
      <x:c r="F69" s="24" t="s">
        <x:v>34</x:v>
      </x:c>
      <x:c r="G69" s="26" t="s">
        <x:v>195</x:v>
      </x:c>
      <x:c r="H69" s="26" t="s">
        <x:v>94</x:v>
      </x:c>
      <x:c r="I69" s="26" t="s">
        <x:v>128</x:v>
      </x:c>
      <x:c r="J69" s="26" t="str">
        <x:v>Planejada</x:v>
      </x:c>
      <x:c r="K69" s="26" t="str">
        <x:v>Planejada</x:v>
      </x:c>
      <x:c r="L69" s="26" t="s">
        <x:v>38</x:v>
      </x:c>
      <x:c r="M69" s="26" t="str">
        <x:v>Planejada</x:v>
      </x:c>
      <x:c r="N69" s="27" t="str">
        <x:v>Não se aplica</x:v>
      </x:c>
      <x:c r="O69" s="54" t="str">
        <x:v>Não se aplica</x:v>
      </x:c>
      <x:c r="P69" s="51"/>
    </x:row>
    <x:row r="70" ht="64.5" hidden="0" customHeight="1">
      <x:c r="B70" s="16" t="s">
        <x:v>196</x:v>
      </x:c>
      <x:c r="C70" s="17" t="n">
        <x:v>46386.5</x:v>
      </x:c>
      <x:c r="D70" s="18" t="s">
        <x:v>26</x:v>
      </x:c>
      <x:c r="E70" s="19" t="n">
        <x:v>0.770833333333333</x:v>
      </x:c>
      <x:c r="F70" s="18" t="s">
        <x:v>27</x:v>
      </x:c>
      <x:c r="G70" s="20" t="s">
        <x:v>197</x:v>
      </x:c>
      <x:c r="H70" s="20" t="s">
        <x:v>98</x:v>
      </x:c>
      <x:c r="I70" s="20" t="s">
        <x:v>91</x:v>
      </x:c>
      <x:c r="J70" s="20" t="str">
        <x:v>Planejada</x:v>
      </x:c>
      <x:c r="K70" s="20" t="str">
        <x:v>Planejada</x:v>
      </x:c>
      <x:c r="L70" s="20" t="s">
        <x:v>31</x:v>
      </x:c>
      <x:c r="M70" s="20" t="str">
        <x:v>Planejada</x:v>
      </x:c>
      <x:c r="N70" s="20" t="str">
        <x:v>Planejada</x:v>
      </x:c>
      <x:c r="O70" s="55" t="str">
        <x:v>Planejada</x:v>
      </x:c>
      <x:c r="P70" s="51"/>
    </x:row>
    <x:row r="71" ht="64.5" hidden="0" customHeight="1">
      <x:c r="B71" s="9" t="s">
        <x:v>198</x:v>
      </x:c>
      <x:c r="C71" s="10" t="n">
        <x:v>46388.5</x:v>
      </x:c>
      <x:c r="D71" s="11" t="s">
        <x:v>33</x:v>
      </x:c>
      <x:c r="E71" s="12" t="n">
        <x:v>0.5</x:v>
      </x:c>
      <x:c r="F71" s="11" t="s">
        <x:v>34</x:v>
      </x:c>
      <x:c r="G71" s="13" t="s">
        <x:v>199</x:v>
      </x:c>
      <x:c r="H71" s="13" t="s">
        <x:v>102</x:v>
      </x:c>
      <x:c r="I71" s="13" t="s">
        <x:v>133</x:v>
      </x:c>
      <x:c r="J71" s="13" t="str">
        <x:v>Planejada</x:v>
      </x:c>
      <x:c r="K71" s="13" t="str">
        <x:v>Planejada</x:v>
      </x:c>
      <x:c r="L71" s="13" t="s">
        <x:v>38</x:v>
      </x:c>
      <x:c r="M71" s="13" t="str">
        <x:v>Planejada</x:v>
      </x:c>
      <x:c r="N71" s="14" t="str">
        <x:v>Não se aplica</x:v>
      </x:c>
      <x:c r="O71" s="53" t="str">
        <x:v>Não se aplica</x:v>
      </x:c>
      <x:c r="P71" s="51"/>
    </x:row>
    <x:row r="72" ht="64.5" hidden="0" customHeight="1">
      <x:c r="B72" s="16" t="s">
        <x:v>200</x:v>
      </x:c>
      <x:c r="C72" s="17" t="n">
        <x:v>46389.5</x:v>
      </x:c>
      <x:c r="D72" s="18" t="s">
        <x:v>40</x:v>
      </x:c>
      <x:c r="E72" s="19" t="n">
        <x:v>0.416666666666667</x:v>
      </x:c>
      <x:c r="F72" s="18" t="s">
        <x:v>20</x:v>
      </x:c>
      <x:c r="G72" s="20" t="s">
        <x:v>201</x:v>
      </x:c>
      <x:c r="H72" s="20" t="s">
        <x:v>136</x:v>
      </x:c>
      <x:c r="I72" s="20" t="s">
        <x:v>91</x:v>
      </x:c>
      <x:c r="J72" s="20" t="str">
        <x:v>Planejada</x:v>
      </x:c>
      <x:c r="K72" s="20" t="str">
        <x:v>Planejada</x:v>
      </x:c>
      <x:c r="L72" s="20" t="s">
        <x:v>24</x:v>
      </x:c>
      <x:c r="M72" s="20" t="str">
        <x:v>Planejada</x:v>
      </x:c>
      <x:c r="N72" s="21" t="str">
        <x:v>Não se aplica</x:v>
      </x:c>
      <x:c r="O72" s="55" t="str">
        <x:v>Não se aplica</x:v>
      </x:c>
      <x:c r="P72" s="51"/>
    </x:row>
    <x:row r="73" ht="64.5" hidden="0" customHeight="1">
      <x:c r="B73" s="22" t="s">
        <x:v>202</x:v>
      </x:c>
      <x:c r="C73" s="23" t="n">
        <x:v>46391.5</x:v>
      </x:c>
      <x:c r="D73" s="24" t="s">
        <x:v>19</x:v>
      </x:c>
      <x:c r="E73" s="25" t="n">
        <x:v>0.5</x:v>
      </x:c>
      <x:c r="F73" s="24" t="s">
        <x:v>34</x:v>
      </x:c>
      <x:c r="G73" s="26" t="s">
        <x:v>203</x:v>
      </x:c>
      <x:c r="H73" s="26" t="s">
        <x:v>94</x:v>
      </x:c>
      <x:c r="I73" s="26" t="s">
        <x:v>95</x:v>
      </x:c>
      <x:c r="J73" s="26" t="str">
        <x:v>Planejada</x:v>
      </x:c>
      <x:c r="K73" s="26" t="str">
        <x:v>Planejada</x:v>
      </x:c>
      <x:c r="L73" s="26" t="s">
        <x:v>38</x:v>
      </x:c>
      <x:c r="M73" s="26" t="str">
        <x:v>Planejada</x:v>
      </x:c>
      <x:c r="N73" s="27" t="str">
        <x:v>Não se aplica</x:v>
      </x:c>
      <x:c r="O73" s="54" t="str">
        <x:v>Não se aplica</x:v>
      </x:c>
      <x:c r="P73" s="51"/>
    </x:row>
    <x:row r="74" ht="64.5" hidden="0" customHeight="1">
      <x:c r="B74" s="16" t="s">
        <x:v>204</x:v>
      </x:c>
      <x:c r="C74" s="17" t="n">
        <x:v>46393.5</x:v>
      </x:c>
      <x:c r="D74" s="18" t="s">
        <x:v>26</x:v>
      </x:c>
      <x:c r="E74" s="19" t="n">
        <x:v>0.770833333333333</x:v>
      </x:c>
      <x:c r="F74" s="18" t="s">
        <x:v>27</x:v>
      </x:c>
      <x:c r="G74" s="20" t="s">
        <x:v>205</x:v>
      </x:c>
      <x:c r="H74" s="20" t="s">
        <x:v>98</x:v>
      </x:c>
      <x:c r="I74" s="20" t="s">
        <x:v>99</x:v>
      </x:c>
      <x:c r="J74" s="20" t="str">
        <x:v>Planejada</x:v>
      </x:c>
      <x:c r="K74" s="20" t="str">
        <x:v>Planejada</x:v>
      </x:c>
      <x:c r="L74" s="20" t="s">
        <x:v>31</x:v>
      </x:c>
      <x:c r="M74" s="20" t="str">
        <x:v>Planejada</x:v>
      </x:c>
      <x:c r="N74" s="20" t="str">
        <x:v>Planejada</x:v>
      </x:c>
      <x:c r="O74" s="55" t="str">
        <x:v>Planejada</x:v>
      </x:c>
      <x:c r="P74" s="51"/>
    </x:row>
    <x:row r="75" ht="64.5" hidden="0" customHeight="1">
      <x:c r="B75" s="9" t="s">
        <x:v>206</x:v>
      </x:c>
      <x:c r="C75" s="10" t="n">
        <x:v>46395.5</x:v>
      </x:c>
      <x:c r="D75" s="11" t="s">
        <x:v>33</x:v>
      </x:c>
      <x:c r="E75" s="12" t="n">
        <x:v>0.5</x:v>
      </x:c>
      <x:c r="F75" s="11" t="s">
        <x:v>34</x:v>
      </x:c>
      <x:c r="G75" s="13" t="s">
        <x:v>207</x:v>
      </x:c>
      <x:c r="H75" s="13" t="s">
        <x:v>102</x:v>
      </x:c>
      <x:c r="I75" s="13" t="s">
        <x:v>37</x:v>
      </x:c>
      <x:c r="J75" s="13" t="str">
        <x:v>Planejada</x:v>
      </x:c>
      <x:c r="K75" s="13" t="str">
        <x:v>Planejada</x:v>
      </x:c>
      <x:c r="L75" s="13" t="s">
        <x:v>38</x:v>
      </x:c>
      <x:c r="M75" s="13" t="str">
        <x:v>Planejada</x:v>
      </x:c>
      <x:c r="N75" s="14" t="str">
        <x:v>Não se aplica</x:v>
      </x:c>
      <x:c r="O75" s="53" t="str">
        <x:v>Não se aplica</x:v>
      </x:c>
      <x:c r="P75" s="51"/>
    </x:row>
    <x:row r="76" ht="64.5" hidden="0" customHeight="1">
      <x:c r="B76" s="16" t="s">
        <x:v>208</x:v>
      </x:c>
      <x:c r="C76" s="17" t="n">
        <x:v>46396.5</x:v>
      </x:c>
      <x:c r="D76" s="18" t="s">
        <x:v>40</x:v>
      </x:c>
      <x:c r="E76" s="19" t="n">
        <x:v>0.416666666666667</x:v>
      </x:c>
      <x:c r="F76" s="18" t="s">
        <x:v>20</x:v>
      </x:c>
      <x:c r="G76" s="20" t="s">
        <x:v>209</x:v>
      </x:c>
      <x:c r="H76" s="20" t="s">
        <x:v>105</x:v>
      </x:c>
      <x:c r="I76" s="20" t="s">
        <x:v>106</x:v>
      </x:c>
      <x:c r="J76" s="20" t="str">
        <x:v>Planejada</x:v>
      </x:c>
      <x:c r="K76" s="20" t="str">
        <x:v>Planejada</x:v>
      </x:c>
      <x:c r="L76" s="20" t="s">
        <x:v>24</x:v>
      </x:c>
      <x:c r="M76" s="20" t="str">
        <x:v>Planejada</x:v>
      </x:c>
      <x:c r="N76" s="21" t="str">
        <x:v>Não se aplica</x:v>
      </x:c>
      <x:c r="O76" s="55" t="str">
        <x:v>Não se aplica</x:v>
      </x:c>
      <x:c r="P76" s="51"/>
    </x:row>
    <x:row r="77" ht="64.5" hidden="0" customHeight="1">
      <x:c r="B77" s="22" t="s">
        <x:v>210</x:v>
      </x:c>
      <x:c r="C77" s="23" t="n">
        <x:v>46398.5</x:v>
      </x:c>
      <x:c r="D77" s="24" t="s">
        <x:v>19</x:v>
      </x:c>
      <x:c r="E77" s="25" t="n">
        <x:v>0.5</x:v>
      </x:c>
      <x:c r="F77" s="24" t="s">
        <x:v>34</x:v>
      </x:c>
      <x:c r="G77" s="26" t="s">
        <x:v>211</x:v>
      </x:c>
      <x:c r="H77" s="26" t="s">
        <x:v>94</x:v>
      </x:c>
      <x:c r="I77" s="26" t="s">
        <x:v>109</x:v>
      </x:c>
      <x:c r="J77" s="26" t="str">
        <x:v>Planejada</x:v>
      </x:c>
      <x:c r="K77" s="26" t="str">
        <x:v>Planejada</x:v>
      </x:c>
      <x:c r="L77" s="26" t="s">
        <x:v>38</x:v>
      </x:c>
      <x:c r="M77" s="26" t="str">
        <x:v>Planejada</x:v>
      </x:c>
      <x:c r="N77" s="27" t="str">
        <x:v>Não se aplica</x:v>
      </x:c>
      <x:c r="O77" s="54" t="str">
        <x:v>Não se aplica</x:v>
      </x:c>
      <x:c r="P77" s="51"/>
    </x:row>
    <x:row r="78" ht="64.5" hidden="0" customHeight="1">
      <x:c r="B78" s="16" t="s">
        <x:v>212</x:v>
      </x:c>
      <x:c r="C78" s="17" t="n">
        <x:v>46400.5</x:v>
      </x:c>
      <x:c r="D78" s="18" t="s">
        <x:v>26</x:v>
      </x:c>
      <x:c r="E78" s="19" t="n">
        <x:v>0.770833333333333</x:v>
      </x:c>
      <x:c r="F78" s="18" t="s">
        <x:v>27</x:v>
      </x:c>
      <x:c r="G78" s="20" t="s">
        <x:v>213</x:v>
      </x:c>
      <x:c r="H78" s="20" t="s">
        <x:v>98</x:v>
      </x:c>
      <x:c r="I78" s="20" t="s">
        <x:v>112</x:v>
      </x:c>
      <x:c r="J78" s="20" t="str">
        <x:v>Planejada</x:v>
      </x:c>
      <x:c r="K78" s="20" t="str">
        <x:v>Planejada</x:v>
      </x:c>
      <x:c r="L78" s="20" t="s">
        <x:v>31</x:v>
      </x:c>
      <x:c r="M78" s="20" t="str">
        <x:v>Planejada</x:v>
      </x:c>
      <x:c r="N78" s="20" t="str">
        <x:v>Planejada</x:v>
      </x:c>
      <x:c r="O78" s="55" t="str">
        <x:v>Planejada</x:v>
      </x:c>
      <x:c r="P78" s="51"/>
    </x:row>
    <x:row r="79" ht="64.5" hidden="0" customHeight="1">
      <x:c r="B79" s="9" t="s">
        <x:v>214</x:v>
      </x:c>
      <x:c r="C79" s="10" t="n">
        <x:v>46402.5</x:v>
      </x:c>
      <x:c r="D79" s="11" t="s">
        <x:v>33</x:v>
      </x:c>
      <x:c r="E79" s="12" t="n">
        <x:v>0.5</x:v>
      </x:c>
      <x:c r="F79" s="11" t="s">
        <x:v>34</x:v>
      </x:c>
      <x:c r="G79" s="13" t="s">
        <x:v>215</x:v>
      </x:c>
      <x:c r="H79" s="13" t="s">
        <x:v>102</x:v>
      </x:c>
      <x:c r="I79" s="13" t="s">
        <x:v>115</x:v>
      </x:c>
      <x:c r="J79" s="13" t="str">
        <x:v>Planejada</x:v>
      </x:c>
      <x:c r="K79" s="13" t="str">
        <x:v>Planejada</x:v>
      </x:c>
      <x:c r="L79" s="13" t="s">
        <x:v>38</x:v>
      </x:c>
      <x:c r="M79" s="13" t="str">
        <x:v>Planejada</x:v>
      </x:c>
      <x:c r="N79" s="14" t="str">
        <x:v>Não se aplica</x:v>
      </x:c>
      <x:c r="O79" s="53" t="str">
        <x:v>Não se aplica</x:v>
      </x:c>
      <x:c r="P79" s="51"/>
    </x:row>
    <x:row r="80" ht="64.5" hidden="0" customHeight="1">
      <x:c r="B80" s="16" t="s">
        <x:v>216</x:v>
      </x:c>
      <x:c r="C80" s="17" t="n">
        <x:v>46403.5</x:v>
      </x:c>
      <x:c r="D80" s="18" t="s">
        <x:v>40</x:v>
      </x:c>
      <x:c r="E80" s="19" t="n">
        <x:v>0.416666666666667</x:v>
      </x:c>
      <x:c r="F80" s="18" t="s">
        <x:v>20</x:v>
      </x:c>
      <x:c r="G80" s="20" t="s">
        <x:v>217</x:v>
      </x:c>
      <x:c r="H80" s="20" t="s">
        <x:v>105</x:v>
      </x:c>
      <x:c r="I80" s="20" t="s">
        <x:v>106</x:v>
      </x:c>
      <x:c r="J80" s="20" t="str">
        <x:v>Planejada</x:v>
      </x:c>
      <x:c r="K80" s="20" t="str">
        <x:v>Planejada</x:v>
      </x:c>
      <x:c r="L80" s="20" t="s">
        <x:v>24</x:v>
      </x:c>
      <x:c r="M80" s="20" t="str">
        <x:v>Planejada</x:v>
      </x:c>
      <x:c r="N80" s="21" t="str">
        <x:v>Não se aplica</x:v>
      </x:c>
      <x:c r="O80" s="55" t="str">
        <x:v>Não se aplica</x:v>
      </x:c>
      <x:c r="P80" s="51"/>
    </x:row>
    <x:row r="81" ht="64.5" hidden="0" customHeight="1">
      <x:c r="B81" s="22" t="s">
        <x:v>218</x:v>
      </x:c>
      <x:c r="C81" s="23" t="n">
        <x:v>46405.5</x:v>
      </x:c>
      <x:c r="D81" s="24" t="s">
        <x:v>19</x:v>
      </x:c>
      <x:c r="E81" s="25" t="n">
        <x:v>0.5</x:v>
      </x:c>
      <x:c r="F81" s="24" t="s">
        <x:v>34</x:v>
      </x:c>
      <x:c r="G81" s="26" t="s">
        <x:v>219</x:v>
      </x:c>
      <x:c r="H81" s="26" t="s">
        <x:v>94</x:v>
      </x:c>
      <x:c r="I81" s="26" t="s">
        <x:v>59</x:v>
      </x:c>
      <x:c r="J81" s="26" t="str">
        <x:v>Planejada</x:v>
      </x:c>
      <x:c r="K81" s="26" t="str">
        <x:v>Planejada</x:v>
      </x:c>
      <x:c r="L81" s="26" t="s">
        <x:v>38</x:v>
      </x:c>
      <x:c r="M81" s="26" t="str">
        <x:v>Planejada</x:v>
      </x:c>
      <x:c r="N81" s="27" t="str">
        <x:v>Não se aplica</x:v>
      </x:c>
      <x:c r="O81" s="54" t="str">
        <x:v>Não se aplica</x:v>
      </x:c>
      <x:c r="P81" s="51"/>
    </x:row>
    <x:row r="82" ht="64.5" hidden="0" customHeight="1">
      <x:c r="B82" s="16" t="s">
        <x:v>220</x:v>
      </x:c>
      <x:c r="C82" s="17" t="n">
        <x:v>46407.5</x:v>
      </x:c>
      <x:c r="D82" s="18" t="s">
        <x:v>26</x:v>
      </x:c>
      <x:c r="E82" s="19" t="n">
        <x:v>0.770833333333333</x:v>
      </x:c>
      <x:c r="F82" s="18" t="s">
        <x:v>27</x:v>
      </x:c>
      <x:c r="G82" s="20" t="s">
        <x:v>221</x:v>
      </x:c>
      <x:c r="H82" s="20" t="s">
        <x:v>98</x:v>
      </x:c>
      <x:c r="I82" s="20" t="s">
        <x:v>59</x:v>
      </x:c>
      <x:c r="J82" s="20" t="str">
        <x:v>Planejada</x:v>
      </x:c>
      <x:c r="K82" s="20" t="str">
        <x:v>Planejada</x:v>
      </x:c>
      <x:c r="L82" s="20" t="s">
        <x:v>31</x:v>
      </x:c>
      <x:c r="M82" s="20" t="str">
        <x:v>Planejada</x:v>
      </x:c>
      <x:c r="N82" s="20" t="str">
        <x:v>Planejada</x:v>
      </x:c>
      <x:c r="O82" s="55" t="str">
        <x:v>Planejada</x:v>
      </x:c>
      <x:c r="P82" s="51"/>
    </x:row>
    <x:row r="83" ht="64.5" hidden="0" customHeight="1">
      <x:c r="B83" s="9" t="s">
        <x:v>222</x:v>
      </x:c>
      <x:c r="C83" s="10" t="n">
        <x:v>46409.5</x:v>
      </x:c>
      <x:c r="D83" s="11" t="s">
        <x:v>33</x:v>
      </x:c>
      <x:c r="E83" s="12" t="n">
        <x:v>0.5</x:v>
      </x:c>
      <x:c r="F83" s="11" t="s">
        <x:v>34</x:v>
      </x:c>
      <x:c r="G83" s="13" t="s">
        <x:v>223</x:v>
      </x:c>
      <x:c r="H83" s="13" t="s">
        <x:v>102</x:v>
      </x:c>
      <x:c r="I83" s="13" t="s">
        <x:v>47</x:v>
      </x:c>
      <x:c r="J83" s="13" t="str">
        <x:v>Planejada</x:v>
      </x:c>
      <x:c r="K83" s="13" t="str">
        <x:v>Planejada</x:v>
      </x:c>
      <x:c r="L83" s="13" t="s">
        <x:v>38</x:v>
      </x:c>
      <x:c r="M83" s="13" t="str">
        <x:v>Planejada</x:v>
      </x:c>
      <x:c r="N83" s="14" t="str">
        <x:v>Não se aplica</x:v>
      </x:c>
      <x:c r="O83" s="53" t="str">
        <x:v>Não se aplica</x:v>
      </x:c>
      <x:c r="P83" s="51"/>
    </x:row>
    <x:row r="84" ht="64.5" hidden="0" customHeight="1">
      <x:c r="B84" s="16" t="s">
        <x:v>224</x:v>
      </x:c>
      <x:c r="C84" s="17" t="n">
        <x:v>46410.5</x:v>
      </x:c>
      <x:c r="D84" s="18" t="s">
        <x:v>40</x:v>
      </x:c>
      <x:c r="E84" s="19" t="n">
        <x:v>0.416666666666667</x:v>
      </x:c>
      <x:c r="F84" s="18" t="s">
        <x:v>20</x:v>
      </x:c>
      <x:c r="G84" s="20" t="s">
        <x:v>225</x:v>
      </x:c>
      <x:c r="H84" s="20" t="s">
        <x:v>105</x:v>
      </x:c>
      <x:c r="I84" s="20" t="s">
        <x:v>106</x:v>
      </x:c>
      <x:c r="J84" s="20" t="str">
        <x:v>Planejada</x:v>
      </x:c>
      <x:c r="K84" s="20" t="str">
        <x:v>Planejada</x:v>
      </x:c>
      <x:c r="L84" s="20" t="s">
        <x:v>24</x:v>
      </x:c>
      <x:c r="M84" s="20" t="str">
        <x:v>Planejada</x:v>
      </x:c>
      <x:c r="N84" s="21" t="str">
        <x:v>Não se aplica</x:v>
      </x:c>
      <x:c r="O84" s="55" t="str">
        <x:v>Não se aplica</x:v>
      </x:c>
      <x:c r="P84" s="51"/>
    </x:row>
    <x:row r="85" ht="64.5" hidden="0" customHeight="1">
      <x:c r="B85" s="22" t="s">
        <x:v>226</x:v>
      </x:c>
      <x:c r="C85" s="23" t="n">
        <x:v>46412.5</x:v>
      </x:c>
      <x:c r="D85" s="24" t="s">
        <x:v>19</x:v>
      </x:c>
      <x:c r="E85" s="25" t="n">
        <x:v>0.5</x:v>
      </x:c>
      <x:c r="F85" s="24" t="s">
        <x:v>34</x:v>
      </x:c>
      <x:c r="G85" s="26" t="s">
        <x:v>227</x:v>
      </x:c>
      <x:c r="H85" s="26" t="s">
        <x:v>94</x:v>
      </x:c>
      <x:c r="I85" s="26" t="s">
        <x:v>128</x:v>
      </x:c>
      <x:c r="J85" s="26" t="str">
        <x:v>Planejada</x:v>
      </x:c>
      <x:c r="K85" s="26" t="str">
        <x:v>Planejada</x:v>
      </x:c>
      <x:c r="L85" s="26" t="s">
        <x:v>38</x:v>
      </x:c>
      <x:c r="M85" s="26" t="str">
        <x:v>Planejada</x:v>
      </x:c>
      <x:c r="N85" s="27" t="str">
        <x:v>Não se aplica</x:v>
      </x:c>
      <x:c r="O85" s="54" t="str">
        <x:v>Não se aplica</x:v>
      </x:c>
      <x:c r="P85" s="51"/>
    </x:row>
    <x:row r="86" ht="64.5" hidden="0" customHeight="1">
      <x:c r="B86" s="16" t="s">
        <x:v>228</x:v>
      </x:c>
      <x:c r="C86" s="17" t="n">
        <x:v>46414.5</x:v>
      </x:c>
      <x:c r="D86" s="18" t="s">
        <x:v>26</x:v>
      </x:c>
      <x:c r="E86" s="19" t="n">
        <x:v>0.770833333333333</x:v>
      </x:c>
      <x:c r="F86" s="18" t="s">
        <x:v>27</x:v>
      </x:c>
      <x:c r="G86" s="20" t="s">
        <x:v>229</x:v>
      </x:c>
      <x:c r="H86" s="20" t="s">
        <x:v>98</x:v>
      </x:c>
      <x:c r="I86" s="20" t="s">
        <x:v>230</x:v>
      </x:c>
      <x:c r="J86" s="20" t="str">
        <x:v>Planejada</x:v>
      </x:c>
      <x:c r="K86" s="20" t="str">
        <x:v>Planejada</x:v>
      </x:c>
      <x:c r="L86" s="20" t="s">
        <x:v>31</x:v>
      </x:c>
      <x:c r="M86" s="20" t="str">
        <x:v>Planejada</x:v>
      </x:c>
      <x:c r="N86" s="20" t="str">
        <x:v>Planejada</x:v>
      </x:c>
      <x:c r="O86" s="55" t="str">
        <x:v>Planejada</x:v>
      </x:c>
      <x:c r="P86" s="51"/>
    </x:row>
    <x:row r="87" ht="64.5" hidden="0" customHeight="1">
      <x:c r="B87" s="9" t="s">
        <x:v>231</x:v>
      </x:c>
      <x:c r="C87" s="10" t="n">
        <x:v>46416.5</x:v>
      </x:c>
      <x:c r="D87" s="11" t="s">
        <x:v>33</x:v>
      </x:c>
      <x:c r="E87" s="12" t="n">
        <x:v>0.5</x:v>
      </x:c>
      <x:c r="F87" s="11" t="s">
        <x:v>34</x:v>
      </x:c>
      <x:c r="G87" s="13" t="s">
        <x:v>232</x:v>
      </x:c>
      <x:c r="H87" s="13" t="s">
        <x:v>102</x:v>
      </x:c>
      <x:c r="I87" s="13" t="s">
        <x:v>133</x:v>
      </x:c>
      <x:c r="J87" s="13" t="str">
        <x:v>Planejada</x:v>
      </x:c>
      <x:c r="K87" s="13" t="str">
        <x:v>Planejada</x:v>
      </x:c>
      <x:c r="L87" s="13" t="s">
        <x:v>38</x:v>
      </x:c>
      <x:c r="M87" s="13" t="str">
        <x:v>Planejada</x:v>
      </x:c>
      <x:c r="N87" s="14" t="str">
        <x:v>Não se aplica</x:v>
      </x:c>
      <x:c r="O87" s="53" t="str">
        <x:v>Não se aplica</x:v>
      </x:c>
      <x:c r="P87" s="51"/>
    </x:row>
    <x:row r="88" ht="64.5" hidden="0" customHeight="1">
      <x:c r="B88" s="16" t="s">
        <x:v>233</x:v>
      </x:c>
      <x:c r="C88" s="17" t="n">
        <x:v>46417.5</x:v>
      </x:c>
      <x:c r="D88" s="18" t="s">
        <x:v>40</x:v>
      </x:c>
      <x:c r="E88" s="19" t="n">
        <x:v>0.416666666666667</x:v>
      </x:c>
      <x:c r="F88" s="18" t="s">
        <x:v>20</x:v>
      </x:c>
      <x:c r="G88" s="20" t="s">
        <x:v>234</x:v>
      </x:c>
      <x:c r="H88" s="20" t="s">
        <x:v>136</x:v>
      </x:c>
      <x:c r="I88" s="20" t="s">
        <x:v>230</x:v>
      </x:c>
      <x:c r="J88" s="20" t="str">
        <x:v>Planejada</x:v>
      </x:c>
      <x:c r="K88" s="20" t="str">
        <x:v>Planejada</x:v>
      </x:c>
      <x:c r="L88" s="20" t="s">
        <x:v>24</x:v>
      </x:c>
      <x:c r="M88" s="20" t="str">
        <x:v>Planejada</x:v>
      </x:c>
      <x:c r="N88" s="21" t="str">
        <x:v>Não se aplica</x:v>
      </x:c>
      <x:c r="O88" s="55" t="str">
        <x:v>Não se aplica</x:v>
      </x:c>
      <x:c r="P88" s="51"/>
    </x:row>
    <x:row r="89" ht="64.5" hidden="0" customHeight="1">
      <x:c r="B89" s="22" t="s">
        <x:v>235</x:v>
      </x:c>
      <x:c r="C89" s="23" t="n">
        <x:v>46419.5</x:v>
      </x:c>
      <x:c r="D89" s="24" t="s">
        <x:v>19</x:v>
      </x:c>
      <x:c r="E89" s="25" t="n">
        <x:v>0.5</x:v>
      </x:c>
      <x:c r="F89" s="24" t="s">
        <x:v>34</x:v>
      </x:c>
      <x:c r="G89" s="26" t="s">
        <x:v>236</x:v>
      </x:c>
      <x:c r="H89" s="26" t="s">
        <x:v>94</x:v>
      </x:c>
      <x:c r="I89" s="26" t="s">
        <x:v>95</x:v>
      </x:c>
      <x:c r="J89" s="26" t="str">
        <x:v>Planejada</x:v>
      </x:c>
      <x:c r="K89" s="26" t="str">
        <x:v>Planejada</x:v>
      </x:c>
      <x:c r="L89" s="26" t="s">
        <x:v>38</x:v>
      </x:c>
      <x:c r="M89" s="26" t="str">
        <x:v>Planejada</x:v>
      </x:c>
      <x:c r="N89" s="27" t="str">
        <x:v>Não se aplica</x:v>
      </x:c>
      <x:c r="O89" s="54" t="str">
        <x:v>Não se aplica</x:v>
      </x:c>
      <x:c r="P89" s="51"/>
    </x:row>
    <x:row r="90" ht="64.5" hidden="0" customHeight="1">
      <x:c r="B90" s="16" t="s">
        <x:v>237</x:v>
      </x:c>
      <x:c r="C90" s="17" t="n">
        <x:v>46421.5</x:v>
      </x:c>
      <x:c r="D90" s="18" t="s">
        <x:v>26</x:v>
      </x:c>
      <x:c r="E90" s="19" t="n">
        <x:v>0.770833333333333</x:v>
      </x:c>
      <x:c r="F90" s="18" t="s">
        <x:v>27</x:v>
      </x:c>
      <x:c r="G90" s="20" t="s">
        <x:v>238</x:v>
      </x:c>
      <x:c r="H90" s="20" t="s">
        <x:v>98</x:v>
      </x:c>
      <x:c r="I90" s="20" t="s">
        <x:v>99</x:v>
      </x:c>
      <x:c r="J90" s="20" t="str">
        <x:v>Planejada</x:v>
      </x:c>
      <x:c r="K90" s="20" t="str">
        <x:v>Planejada</x:v>
      </x:c>
      <x:c r="L90" s="20" t="s">
        <x:v>31</x:v>
      </x:c>
      <x:c r="M90" s="20" t="str">
        <x:v>Planejada</x:v>
      </x:c>
      <x:c r="N90" s="20" t="str">
        <x:v>Planejada</x:v>
      </x:c>
      <x:c r="O90" s="55" t="str">
        <x:v>Planejada</x:v>
      </x:c>
      <x:c r="P90" s="51"/>
    </x:row>
    <x:row r="91" ht="64.5" hidden="0" customHeight="1">
      <x:c r="B91" s="9" t="s">
        <x:v>239</x:v>
      </x:c>
      <x:c r="C91" s="10" t="n">
        <x:v>46423.5</x:v>
      </x:c>
      <x:c r="D91" s="11" t="s">
        <x:v>33</x:v>
      </x:c>
      <x:c r="E91" s="12" t="n">
        <x:v>0.5</x:v>
      </x:c>
      <x:c r="F91" s="11" t="s">
        <x:v>34</x:v>
      </x:c>
      <x:c r="G91" s="13" t="s">
        <x:v>240</x:v>
      </x:c>
      <x:c r="H91" s="13" t="s">
        <x:v>102</x:v>
      </x:c>
      <x:c r="I91" s="13" t="s">
        <x:v>37</x:v>
      </x:c>
      <x:c r="J91" s="13" t="str">
        <x:v>Planejada</x:v>
      </x:c>
      <x:c r="K91" s="13" t="str">
        <x:v>Planejada</x:v>
      </x:c>
      <x:c r="L91" s="13" t="s">
        <x:v>38</x:v>
      </x:c>
      <x:c r="M91" s="13" t="str">
        <x:v>Planejada</x:v>
      </x:c>
      <x:c r="N91" s="14" t="str">
        <x:v>Não se aplica</x:v>
      </x:c>
      <x:c r="O91" s="53" t="str">
        <x:v>Não se aplica</x:v>
      </x:c>
      <x:c r="P91" s="51"/>
    </x:row>
    <x:row r="92" ht="64.5" hidden="0" customHeight="1">
      <x:c r="B92" s="16" t="s">
        <x:v>241</x:v>
      </x:c>
      <x:c r="C92" s="17" t="n">
        <x:v>46424.5</x:v>
      </x:c>
      <x:c r="D92" s="18" t="s">
        <x:v>40</x:v>
      </x:c>
      <x:c r="E92" s="19" t="n">
        <x:v>0.416666666666667</x:v>
      </x:c>
      <x:c r="F92" s="18" t="s">
        <x:v>20</x:v>
      </x:c>
      <x:c r="G92" s="20" t="s">
        <x:v>242</x:v>
      </x:c>
      <x:c r="H92" s="20" t="s">
        <x:v>105</x:v>
      </x:c>
      <x:c r="I92" s="20" t="s">
        <x:v>106</x:v>
      </x:c>
      <x:c r="J92" s="20" t="str">
        <x:v>Planejada</x:v>
      </x:c>
      <x:c r="K92" s="20" t="str">
        <x:v>Planejada</x:v>
      </x:c>
      <x:c r="L92" s="20" t="s">
        <x:v>24</x:v>
      </x:c>
      <x:c r="M92" s="20" t="str">
        <x:v>Planejada</x:v>
      </x:c>
      <x:c r="N92" s="21" t="str">
        <x:v>Não se aplica</x:v>
      </x:c>
      <x:c r="O92" s="55" t="str">
        <x:v>Não se aplica</x:v>
      </x:c>
      <x:c r="P92" s="51"/>
    </x:row>
    <x:row r="93" ht="64.5" hidden="0" customHeight="1">
      <x:c r="B93" s="22" t="s">
        <x:v>243</x:v>
      </x:c>
      <x:c r="C93" s="23" t="n">
        <x:v>46426.5</x:v>
      </x:c>
      <x:c r="D93" s="24" t="s">
        <x:v>19</x:v>
      </x:c>
      <x:c r="E93" s="25" t="n">
        <x:v>0.5</x:v>
      </x:c>
      <x:c r="F93" s="24" t="s">
        <x:v>34</x:v>
      </x:c>
      <x:c r="G93" s="26" t="s">
        <x:v>244</x:v>
      </x:c>
      <x:c r="H93" s="26" t="s">
        <x:v>94</x:v>
      </x:c>
      <x:c r="I93" s="26" t="s">
        <x:v>109</x:v>
      </x:c>
      <x:c r="J93" s="26" t="str">
        <x:v>Planejada</x:v>
      </x:c>
      <x:c r="K93" s="26" t="str">
        <x:v>Planejada</x:v>
      </x:c>
      <x:c r="L93" s="26" t="s">
        <x:v>38</x:v>
      </x:c>
      <x:c r="M93" s="26" t="str">
        <x:v>Planejada</x:v>
      </x:c>
      <x:c r="N93" s="27" t="str">
        <x:v>Não se aplica</x:v>
      </x:c>
      <x:c r="O93" s="54" t="str">
        <x:v>Não se aplica</x:v>
      </x:c>
      <x:c r="P93" s="51"/>
    </x:row>
    <x:row r="94" ht="64.5" hidden="0" customHeight="1">
      <x:c r="B94" s="16" t="s">
        <x:v>245</x:v>
      </x:c>
      <x:c r="C94" s="17" t="n">
        <x:v>46428.5</x:v>
      </x:c>
      <x:c r="D94" s="18" t="s">
        <x:v>26</x:v>
      </x:c>
      <x:c r="E94" s="19" t="n">
        <x:v>0.770833333333333</x:v>
      </x:c>
      <x:c r="F94" s="18" t="s">
        <x:v>27</x:v>
      </x:c>
      <x:c r="G94" s="20" t="s">
        <x:v>246</x:v>
      </x:c>
      <x:c r="H94" s="20" t="s">
        <x:v>98</x:v>
      </x:c>
      <x:c r="I94" s="20" t="s">
        <x:v>112</x:v>
      </x:c>
      <x:c r="J94" s="20" t="str">
        <x:v>Planejada</x:v>
      </x:c>
      <x:c r="K94" s="20" t="str">
        <x:v>Planejada</x:v>
      </x:c>
      <x:c r="L94" s="20" t="s">
        <x:v>31</x:v>
      </x:c>
      <x:c r="M94" s="20" t="str">
        <x:v>Planejada</x:v>
      </x:c>
      <x:c r="N94" s="20" t="str">
        <x:v>Planejada</x:v>
      </x:c>
      <x:c r="O94" s="55" t="str">
        <x:v>Planejada</x:v>
      </x:c>
      <x:c r="P94" s="51"/>
    </x:row>
    <x:row r="95" ht="64.5" hidden="0" customHeight="1">
      <x:c r="B95" s="9" t="s">
        <x:v>247</x:v>
      </x:c>
      <x:c r="C95" s="10" t="n">
        <x:v>46430.5</x:v>
      </x:c>
      <x:c r="D95" s="11" t="s">
        <x:v>33</x:v>
      </x:c>
      <x:c r="E95" s="12" t="n">
        <x:v>0.5</x:v>
      </x:c>
      <x:c r="F95" s="11" t="s">
        <x:v>34</x:v>
      </x:c>
      <x:c r="G95" s="13" t="s">
        <x:v>248</x:v>
      </x:c>
      <x:c r="H95" s="13" t="s">
        <x:v>102</x:v>
      </x:c>
      <x:c r="I95" s="13" t="s">
        <x:v>115</x:v>
      </x:c>
      <x:c r="J95" s="13" t="str">
        <x:v>Planejada</x:v>
      </x:c>
      <x:c r="K95" s="13" t="str">
        <x:v>Planejada</x:v>
      </x:c>
      <x:c r="L95" s="13" t="s">
        <x:v>38</x:v>
      </x:c>
      <x:c r="M95" s="13" t="str">
        <x:v>Planejada</x:v>
      </x:c>
      <x:c r="N95" s="14" t="str">
        <x:v>Não se aplica</x:v>
      </x:c>
      <x:c r="O95" s="53" t="str">
        <x:v>Não se aplica</x:v>
      </x:c>
      <x:c r="P95" s="51"/>
    </x:row>
    <x:row r="96" ht="64.5" hidden="0" customHeight="1">
      <x:c r="B96" s="16" t="s">
        <x:v>249</x:v>
      </x:c>
      <x:c r="C96" s="17" t="n">
        <x:v>46431.5</x:v>
      </x:c>
      <x:c r="D96" s="18" t="s">
        <x:v>40</x:v>
      </x:c>
      <x:c r="E96" s="19" t="n">
        <x:v>0.416666666666667</x:v>
      </x:c>
      <x:c r="F96" s="18" t="s">
        <x:v>20</x:v>
      </x:c>
      <x:c r="G96" s="20" t="s">
        <x:v>250</x:v>
      </x:c>
      <x:c r="H96" s="20" t="s">
        <x:v>105</x:v>
      </x:c>
      <x:c r="I96" s="20" t="s">
        <x:v>106</x:v>
      </x:c>
      <x:c r="J96" s="20" t="str">
        <x:v>Planejada</x:v>
      </x:c>
      <x:c r="K96" s="20" t="str">
        <x:v>Planejada</x:v>
      </x:c>
      <x:c r="L96" s="20" t="s">
        <x:v>24</x:v>
      </x:c>
      <x:c r="M96" s="20" t="str">
        <x:v>Planejada</x:v>
      </x:c>
      <x:c r="N96" s="21" t="str">
        <x:v>Não se aplica</x:v>
      </x:c>
      <x:c r="O96" s="55" t="str">
        <x:v>Não se aplica</x:v>
      </x:c>
      <x:c r="P96" s="51"/>
    </x:row>
    <x:row r="97" ht="64.5" hidden="0" customHeight="1">
      <x:c r="B97" s="22" t="s">
        <x:v>251</x:v>
      </x:c>
      <x:c r="C97" s="23" t="n">
        <x:v>46433.5</x:v>
      </x:c>
      <x:c r="D97" s="24" t="s">
        <x:v>19</x:v>
      </x:c>
      <x:c r="E97" s="25" t="n">
        <x:v>0.5</x:v>
      </x:c>
      <x:c r="F97" s="24" t="s">
        <x:v>34</x:v>
      </x:c>
      <x:c r="G97" s="26" t="s">
        <x:v>252</x:v>
      </x:c>
      <x:c r="H97" s="26" t="s">
        <x:v>94</x:v>
      </x:c>
      <x:c r="I97" s="26" t="s">
        <x:v>59</x:v>
      </x:c>
      <x:c r="J97" s="26" t="str">
        <x:v>Planejada</x:v>
      </x:c>
      <x:c r="K97" s="26" t="str">
        <x:v>Planejada</x:v>
      </x:c>
      <x:c r="L97" s="26" t="s">
        <x:v>38</x:v>
      </x:c>
      <x:c r="M97" s="26" t="str">
        <x:v>Planejada</x:v>
      </x:c>
      <x:c r="N97" s="27" t="str">
        <x:v>Não se aplica</x:v>
      </x:c>
      <x:c r="O97" s="54" t="str">
        <x:v>Não se aplica</x:v>
      </x:c>
      <x:c r="P97" s="51"/>
    </x:row>
    <x:row r="98" ht="64.5" hidden="0" customHeight="1">
      <x:c r="B98" s="16" t="s">
        <x:v>253</x:v>
      </x:c>
      <x:c r="C98" s="17" t="n">
        <x:v>46435.5</x:v>
      </x:c>
      <x:c r="D98" s="18" t="s">
        <x:v>26</x:v>
      </x:c>
      <x:c r="E98" s="19" t="n">
        <x:v>0.770833333333333</x:v>
      </x:c>
      <x:c r="F98" s="18" t="s">
        <x:v>27</x:v>
      </x:c>
      <x:c r="G98" s="20" t="s">
        <x:v>254</x:v>
      </x:c>
      <x:c r="H98" s="20" t="s">
        <x:v>98</x:v>
      </x:c>
      <x:c r="I98" s="20" t="s">
        <x:v>59</x:v>
      </x:c>
      <x:c r="J98" s="20" t="str">
        <x:v>Planejada</x:v>
      </x:c>
      <x:c r="K98" s="20" t="str">
        <x:v>Planejada</x:v>
      </x:c>
      <x:c r="L98" s="20" t="s">
        <x:v>31</x:v>
      </x:c>
      <x:c r="M98" s="20" t="str">
        <x:v>Planejada</x:v>
      </x:c>
      <x:c r="N98" s="20" t="str">
        <x:v>Planejada</x:v>
      </x:c>
      <x:c r="O98" s="55" t="str">
        <x:v>Planejada</x:v>
      </x:c>
      <x:c r="P98" s="51"/>
    </x:row>
    <x:row r="99" ht="64.5" hidden="0" customHeight="1">
      <x:c r="B99" s="9" t="s">
        <x:v>255</x:v>
      </x:c>
      <x:c r="C99" s="10" t="n">
        <x:v>46437.5</x:v>
      </x:c>
      <x:c r="D99" s="11" t="s">
        <x:v>33</x:v>
      </x:c>
      <x:c r="E99" s="12" t="n">
        <x:v>0.5</x:v>
      </x:c>
      <x:c r="F99" s="11" t="s">
        <x:v>34</x:v>
      </x:c>
      <x:c r="G99" s="13" t="s">
        <x:v>256</x:v>
      </x:c>
      <x:c r="H99" s="13" t="s">
        <x:v>102</x:v>
      </x:c>
      <x:c r="I99" s="13" t="s">
        <x:v>47</x:v>
      </x:c>
      <x:c r="J99" s="13" t="str">
        <x:v>Planejada</x:v>
      </x:c>
      <x:c r="K99" s="13" t="str">
        <x:v>Planejada</x:v>
      </x:c>
      <x:c r="L99" s="13" t="s">
        <x:v>38</x:v>
      </x:c>
      <x:c r="M99" s="13" t="str">
        <x:v>Planejada</x:v>
      </x:c>
      <x:c r="N99" s="14" t="str">
        <x:v>Não se aplica</x:v>
      </x:c>
      <x:c r="O99" s="53" t="str">
        <x:v>Não se aplica</x:v>
      </x:c>
      <x:c r="P99" s="51"/>
    </x:row>
    <x:row r="100" ht="64.5" hidden="0" customHeight="1">
      <x:c r="B100" s="16" t="s">
        <x:v>257</x:v>
      </x:c>
      <x:c r="C100" s="17" t="n">
        <x:v>46438.5</x:v>
      </x:c>
      <x:c r="D100" s="18" t="s">
        <x:v>40</x:v>
      </x:c>
      <x:c r="E100" s="19" t="n">
        <x:v>0.416666666666667</x:v>
      </x:c>
      <x:c r="F100" s="18" t="s">
        <x:v>20</x:v>
      </x:c>
      <x:c r="G100" s="20" t="s">
        <x:v>258</x:v>
      </x:c>
      <x:c r="H100" s="20" t="s">
        <x:v>105</x:v>
      </x:c>
      <x:c r="I100" s="20" t="s">
        <x:v>106</x:v>
      </x:c>
      <x:c r="J100" s="20" t="str">
        <x:v>Planejada</x:v>
      </x:c>
      <x:c r="K100" s="20" t="str">
        <x:v>Planejada</x:v>
      </x:c>
      <x:c r="L100" s="20" t="s">
        <x:v>24</x:v>
      </x:c>
      <x:c r="M100" s="20" t="str">
        <x:v>Planejada</x:v>
      </x:c>
      <x:c r="N100" s="21" t="str">
        <x:v>Não se aplica</x:v>
      </x:c>
      <x:c r="O100" s="55" t="str">
        <x:v>Não se aplica</x:v>
      </x:c>
      <x:c r="P100" s="51"/>
    </x:row>
    <x:row r="101" ht="64.5" hidden="0" customHeight="1">
      <x:c r="B101" s="22" t="s">
        <x:v>259</x:v>
      </x:c>
      <x:c r="C101" s="23" t="n">
        <x:v>46440.5</x:v>
      </x:c>
      <x:c r="D101" s="24" t="s">
        <x:v>19</x:v>
      </x:c>
      <x:c r="E101" s="25" t="n">
        <x:v>0.5</x:v>
      </x:c>
      <x:c r="F101" s="24" t="s">
        <x:v>34</x:v>
      </x:c>
      <x:c r="G101" s="26" t="s">
        <x:v>260</x:v>
      </x:c>
      <x:c r="H101" s="26" t="s">
        <x:v>94</x:v>
      </x:c>
      <x:c r="I101" s="26" t="s">
        <x:v>128</x:v>
      </x:c>
      <x:c r="J101" s="26" t="str">
        <x:v>Planejada</x:v>
      </x:c>
      <x:c r="K101" s="26" t="str">
        <x:v>Planejada</x:v>
      </x:c>
      <x:c r="L101" s="26" t="s">
        <x:v>38</x:v>
      </x:c>
      <x:c r="M101" s="26" t="str">
        <x:v>Planejada</x:v>
      </x:c>
      <x:c r="N101" s="27" t="str">
        <x:v>Não se aplica</x:v>
      </x:c>
      <x:c r="O101" s="54" t="str">
        <x:v>Não se aplica</x:v>
      </x:c>
      <x:c r="P101" s="51"/>
    </x:row>
    <x:row r="102" ht="64.5" hidden="0" customHeight="1">
      <x:c r="B102" s="16" t="s">
        <x:v>261</x:v>
      </x:c>
      <x:c r="C102" s="17" t="n">
        <x:v>46442.5</x:v>
      </x:c>
      <x:c r="D102" s="18" t="s">
        <x:v>26</x:v>
      </x:c>
      <x:c r="E102" s="19" t="n">
        <x:v>0.770833333333333</x:v>
      </x:c>
      <x:c r="F102" s="18" t="s">
        <x:v>27</x:v>
      </x:c>
      <x:c r="G102" s="20" t="s">
        <x:v>262</x:v>
      </x:c>
      <x:c r="H102" s="20" t="s">
        <x:v>98</x:v>
      </x:c>
      <x:c r="I102" s="20" t="s">
        <x:v>263</x:v>
      </x:c>
      <x:c r="J102" s="20" t="str">
        <x:v>Planejada</x:v>
      </x:c>
      <x:c r="K102" s="20" t="str">
        <x:v>Planejada</x:v>
      </x:c>
      <x:c r="L102" s="20" t="s">
        <x:v>31</x:v>
      </x:c>
      <x:c r="M102" s="20" t="str">
        <x:v>Planejada</x:v>
      </x:c>
      <x:c r="N102" s="20" t="str">
        <x:v>Planejada</x:v>
      </x:c>
      <x:c r="O102" s="55" t="str">
        <x:v>Planejada</x:v>
      </x:c>
      <x:c r="P102" s="51"/>
    </x:row>
    <x:row r="103" ht="64.5" hidden="0" customHeight="1">
      <x:c r="B103" s="9" t="s">
        <x:v>264</x:v>
      </x:c>
      <x:c r="C103" s="10" t="n">
        <x:v>46444.5</x:v>
      </x:c>
      <x:c r="D103" s="11" t="s">
        <x:v>33</x:v>
      </x:c>
      <x:c r="E103" s="12" t="n">
        <x:v>0.5</x:v>
      </x:c>
      <x:c r="F103" s="11" t="s">
        <x:v>34</x:v>
      </x:c>
      <x:c r="G103" s="13" t="s">
        <x:v>265</x:v>
      </x:c>
      <x:c r="H103" s="13" t="s">
        <x:v>102</x:v>
      </x:c>
      <x:c r="I103" s="13" t="s">
        <x:v>133</x:v>
      </x:c>
      <x:c r="J103" s="13" t="str">
        <x:v>Planejada</x:v>
      </x:c>
      <x:c r="K103" s="13" t="str">
        <x:v>Planejada</x:v>
      </x:c>
      <x:c r="L103" s="13" t="s">
        <x:v>38</x:v>
      </x:c>
      <x:c r="M103" s="13" t="str">
        <x:v>Planejada</x:v>
      </x:c>
      <x:c r="N103" s="14" t="str">
        <x:v>Não se aplica</x:v>
      </x:c>
      <x:c r="O103" s="53" t="str">
        <x:v>Não se aplica</x:v>
      </x:c>
      <x:c r="P103" s="51"/>
    </x:row>
    <x:row r="104" ht="64.5" hidden="0" customHeight="1">
      <x:c r="B104" s="16" t="s">
        <x:v>266</x:v>
      </x:c>
      <x:c r="C104" s="17" t="n">
        <x:v>46445.5</x:v>
      </x:c>
      <x:c r="D104" s="18" t="s">
        <x:v>40</x:v>
      </x:c>
      <x:c r="E104" s="19" t="n">
        <x:v>0.416666666666667</x:v>
      </x:c>
      <x:c r="F104" s="18" t="s">
        <x:v>20</x:v>
      </x:c>
      <x:c r="G104" s="20" t="s">
        <x:v>267</x:v>
      </x:c>
      <x:c r="H104" s="20" t="s">
        <x:v>136</x:v>
      </x:c>
      <x:c r="I104" s="20" t="s">
        <x:v>263</x:v>
      </x:c>
      <x:c r="J104" s="20" t="str">
        <x:v>Planejada</x:v>
      </x:c>
      <x:c r="K104" s="20" t="str">
        <x:v>Planejada</x:v>
      </x:c>
      <x:c r="L104" s="20" t="s">
        <x:v>24</x:v>
      </x:c>
      <x:c r="M104" s="20" t="str">
        <x:v>Planejada</x:v>
      </x:c>
      <x:c r="N104" s="21" t="str">
        <x:v>Não se aplica</x:v>
      </x:c>
      <x:c r="O104" s="55" t="str">
        <x:v>Não se aplica</x:v>
      </x:c>
      <x:c r="P104" s="51"/>
    </x:row>
    <x:row r="105" ht="64.5" hidden="0" customHeight="1">
      <x:c r="B105" s="22" t="s">
        <x:v>268</x:v>
      </x:c>
      <x:c r="C105" s="23" t="n">
        <x:v>46447.5</x:v>
      </x:c>
      <x:c r="D105" s="24" t="s">
        <x:v>19</x:v>
      </x:c>
      <x:c r="E105" s="25" t="n">
        <x:v>0.5</x:v>
      </x:c>
      <x:c r="F105" s="24" t="s">
        <x:v>34</x:v>
      </x:c>
      <x:c r="G105" s="26" t="s">
        <x:v>269</x:v>
      </x:c>
      <x:c r="H105" s="26" t="s">
        <x:v>94</x:v>
      </x:c>
      <x:c r="I105" s="26" t="s">
        <x:v>95</x:v>
      </x:c>
      <x:c r="J105" s="26" t="str">
        <x:v>Planejada</x:v>
      </x:c>
      <x:c r="K105" s="26" t="str">
        <x:v>Planejada</x:v>
      </x:c>
      <x:c r="L105" s="26" t="s">
        <x:v>38</x:v>
      </x:c>
      <x:c r="M105" s="26" t="str">
        <x:v>Planejada</x:v>
      </x:c>
      <x:c r="N105" s="27" t="str">
        <x:v>Não se aplica</x:v>
      </x:c>
      <x:c r="O105" s="54" t="str">
        <x:v>Não se aplica</x:v>
      </x:c>
      <x:c r="P105" s="51"/>
    </x:row>
    <x:row r="106" ht="64.5" hidden="0" customHeight="1">
      <x:c r="B106" s="16" t="s">
        <x:v>270</x:v>
      </x:c>
      <x:c r="C106" s="17" t="n">
        <x:v>46449.5</x:v>
      </x:c>
      <x:c r="D106" s="18" t="s">
        <x:v>26</x:v>
      </x:c>
      <x:c r="E106" s="19" t="n">
        <x:v>0.770833333333333</x:v>
      </x:c>
      <x:c r="F106" s="18" t="s">
        <x:v>27</x:v>
      </x:c>
      <x:c r="G106" s="20" t="s">
        <x:v>271</x:v>
      </x:c>
      <x:c r="H106" s="20" t="s">
        <x:v>98</x:v>
      </x:c>
      <x:c r="I106" s="20" t="s">
        <x:v>99</x:v>
      </x:c>
      <x:c r="J106" s="20" t="str">
        <x:v>Planejada</x:v>
      </x:c>
      <x:c r="K106" s="20" t="str">
        <x:v>Planejada</x:v>
      </x:c>
      <x:c r="L106" s="20" t="s">
        <x:v>31</x:v>
      </x:c>
      <x:c r="M106" s="20" t="str">
        <x:v>Planejada</x:v>
      </x:c>
      <x:c r="N106" s="20" t="str">
        <x:v>Planejada</x:v>
      </x:c>
      <x:c r="O106" s="55" t="str">
        <x:v>Planejada</x:v>
      </x:c>
      <x:c r="P106" s="51"/>
    </x:row>
    <x:row r="107" ht="64.5" hidden="0" customHeight="1">
      <x:c r="B107" s="9" t="s">
        <x:v>272</x:v>
      </x:c>
      <x:c r="C107" s="10" t="n">
        <x:v>46451.5</x:v>
      </x:c>
      <x:c r="D107" s="11" t="s">
        <x:v>33</x:v>
      </x:c>
      <x:c r="E107" s="12" t="n">
        <x:v>0.5</x:v>
      </x:c>
      <x:c r="F107" s="11" t="s">
        <x:v>34</x:v>
      </x:c>
      <x:c r="G107" s="13" t="s">
        <x:v>273</x:v>
      </x:c>
      <x:c r="H107" s="13" t="s">
        <x:v>102</x:v>
      </x:c>
      <x:c r="I107" s="13" t="s">
        <x:v>37</x:v>
      </x:c>
      <x:c r="J107" s="13" t="str">
        <x:v>Planejada</x:v>
      </x:c>
      <x:c r="K107" s="13" t="str">
        <x:v>Planejada</x:v>
      </x:c>
      <x:c r="L107" s="13" t="s">
        <x:v>38</x:v>
      </x:c>
      <x:c r="M107" s="13" t="str">
        <x:v>Planejada</x:v>
      </x:c>
      <x:c r="N107" s="14" t="str">
        <x:v>Não se aplica</x:v>
      </x:c>
      <x:c r="O107" s="53" t="str">
        <x:v>Não se aplica</x:v>
      </x:c>
      <x:c r="P107" s="51"/>
    </x:row>
    <x:row r="108" ht="64.5" hidden="0" customHeight="1">
      <x:c r="B108" s="16" t="s">
        <x:v>274</x:v>
      </x:c>
      <x:c r="C108" s="17" t="n">
        <x:v>46452.5</x:v>
      </x:c>
      <x:c r="D108" s="18" t="s">
        <x:v>40</x:v>
      </x:c>
      <x:c r="E108" s="19" t="n">
        <x:v>0.416666666666667</x:v>
      </x:c>
      <x:c r="F108" s="18" t="s">
        <x:v>20</x:v>
      </x:c>
      <x:c r="G108" s="20" t="s">
        <x:v>275</x:v>
      </x:c>
      <x:c r="H108" s="20" t="s">
        <x:v>105</x:v>
      </x:c>
      <x:c r="I108" s="20" t="s">
        <x:v>106</x:v>
      </x:c>
      <x:c r="J108" s="20" t="str">
        <x:v>Planejada</x:v>
      </x:c>
      <x:c r="K108" s="20" t="str">
        <x:v>Planejada</x:v>
      </x:c>
      <x:c r="L108" s="20" t="s">
        <x:v>24</x:v>
      </x:c>
      <x:c r="M108" s="20" t="str">
        <x:v>Planejada</x:v>
      </x:c>
      <x:c r="N108" s="21" t="str">
        <x:v>Não se aplica</x:v>
      </x:c>
      <x:c r="O108" s="55" t="str">
        <x:v>Não se aplica</x:v>
      </x:c>
      <x:c r="P108" s="51"/>
    </x:row>
    <x:row r="109" ht="64.5" hidden="0" customHeight="1">
      <x:c r="B109" s="22" t="s">
        <x:v>276</x:v>
      </x:c>
      <x:c r="C109" s="23" t="n">
        <x:v>46454.5</x:v>
      </x:c>
      <x:c r="D109" s="24" t="s">
        <x:v>19</x:v>
      </x:c>
      <x:c r="E109" s="25" t="n">
        <x:v>0.5</x:v>
      </x:c>
      <x:c r="F109" s="24" t="s">
        <x:v>34</x:v>
      </x:c>
      <x:c r="G109" s="26" t="s">
        <x:v>277</x:v>
      </x:c>
      <x:c r="H109" s="26" t="s">
        <x:v>94</x:v>
      </x:c>
      <x:c r="I109" s="26" t="s">
        <x:v>109</x:v>
      </x:c>
      <x:c r="J109" s="26" t="str">
        <x:v>Planejada</x:v>
      </x:c>
      <x:c r="K109" s="26" t="str">
        <x:v>Planejada</x:v>
      </x:c>
      <x:c r="L109" s="26" t="s">
        <x:v>38</x:v>
      </x:c>
      <x:c r="M109" s="26" t="str">
        <x:v>Planejada</x:v>
      </x:c>
      <x:c r="N109" s="27" t="str">
        <x:v>Não se aplica</x:v>
      </x:c>
      <x:c r="O109" s="54" t="str">
        <x:v>Não se aplica</x:v>
      </x:c>
      <x:c r="P109" s="51"/>
    </x:row>
    <x:row r="110" ht="64.5" hidden="0" customHeight="1">
      <x:c r="B110" s="16" t="s">
        <x:v>278</x:v>
      </x:c>
      <x:c r="C110" s="17" t="n">
        <x:v>46456.5</x:v>
      </x:c>
      <x:c r="D110" s="18" t="s">
        <x:v>26</x:v>
      </x:c>
      <x:c r="E110" s="19" t="n">
        <x:v>0.770833333333333</x:v>
      </x:c>
      <x:c r="F110" s="18" t="s">
        <x:v>27</x:v>
      </x:c>
      <x:c r="G110" s="20" t="s">
        <x:v>279</x:v>
      </x:c>
      <x:c r="H110" s="20" t="s">
        <x:v>98</x:v>
      </x:c>
      <x:c r="I110" s="20" t="s">
        <x:v>112</x:v>
      </x:c>
      <x:c r="J110" s="20" t="str">
        <x:v>Planejada</x:v>
      </x:c>
      <x:c r="K110" s="20" t="str">
        <x:v>Planejada</x:v>
      </x:c>
      <x:c r="L110" s="20" t="s">
        <x:v>31</x:v>
      </x:c>
      <x:c r="M110" s="20" t="str">
        <x:v>Planejada</x:v>
      </x:c>
      <x:c r="N110" s="20" t="str">
        <x:v>Planejada</x:v>
      </x:c>
      <x:c r="O110" s="55" t="str">
        <x:v>Planejada</x:v>
      </x:c>
      <x:c r="P110" s="51"/>
    </x:row>
    <x:row r="111" ht="64.5" hidden="0" customHeight="1">
      <x:c r="B111" s="9" t="s">
        <x:v>280</x:v>
      </x:c>
      <x:c r="C111" s="10" t="n">
        <x:v>46458.5</x:v>
      </x:c>
      <x:c r="D111" s="11" t="s">
        <x:v>33</x:v>
      </x:c>
      <x:c r="E111" s="12" t="n">
        <x:v>0.5</x:v>
      </x:c>
      <x:c r="F111" s="11" t="s">
        <x:v>34</x:v>
      </x:c>
      <x:c r="G111" s="13" t="s">
        <x:v>281</x:v>
      </x:c>
      <x:c r="H111" s="13" t="s">
        <x:v>102</x:v>
      </x:c>
      <x:c r="I111" s="13" t="s">
        <x:v>115</x:v>
      </x:c>
      <x:c r="J111" s="13" t="str">
        <x:v>Planejada</x:v>
      </x:c>
      <x:c r="K111" s="13" t="str">
        <x:v>Planejada</x:v>
      </x:c>
      <x:c r="L111" s="13" t="s">
        <x:v>38</x:v>
      </x:c>
      <x:c r="M111" s="13" t="str">
        <x:v>Planejada</x:v>
      </x:c>
      <x:c r="N111" s="14" t="str">
        <x:v>Não se aplica</x:v>
      </x:c>
      <x:c r="O111" s="53" t="str">
        <x:v>Não se aplica</x:v>
      </x:c>
      <x:c r="P111" s="51"/>
    </x:row>
    <x:row r="112" ht="64.5" hidden="0" customHeight="1">
      <x:c r="B112" s="16" t="s">
        <x:v>282</x:v>
      </x:c>
      <x:c r="C112" s="17" t="n">
        <x:v>46459.5</x:v>
      </x:c>
      <x:c r="D112" s="18" t="s">
        <x:v>40</x:v>
      </x:c>
      <x:c r="E112" s="19" t="n">
        <x:v>0.416666666666667</x:v>
      </x:c>
      <x:c r="F112" s="18" t="s">
        <x:v>20</x:v>
      </x:c>
      <x:c r="G112" s="20" t="s">
        <x:v>283</x:v>
      </x:c>
      <x:c r="H112" s="20" t="s">
        <x:v>105</x:v>
      </x:c>
      <x:c r="I112" s="20" t="s">
        <x:v>106</x:v>
      </x:c>
      <x:c r="J112" s="20" t="str">
        <x:v>Planejada</x:v>
      </x:c>
      <x:c r="K112" s="20" t="str">
        <x:v>Planejada</x:v>
      </x:c>
      <x:c r="L112" s="20" t="s">
        <x:v>24</x:v>
      </x:c>
      <x:c r="M112" s="20" t="str">
        <x:v>Planejada</x:v>
      </x:c>
      <x:c r="N112" s="21" t="str">
        <x:v>Não se aplica</x:v>
      </x:c>
      <x:c r="O112" s="55" t="str">
        <x:v>Não se aplica</x:v>
      </x:c>
      <x:c r="P112" s="51"/>
    </x:row>
    <x:row r="113" ht="64.5" hidden="0" customHeight="1">
      <x:c r="B113" s="22" t="s">
        <x:v>284</x:v>
      </x:c>
      <x:c r="C113" s="23" t="n">
        <x:v>46461.5</x:v>
      </x:c>
      <x:c r="D113" s="24" t="s">
        <x:v>19</x:v>
      </x:c>
      <x:c r="E113" s="25" t="n">
        <x:v>0.5</x:v>
      </x:c>
      <x:c r="F113" s="24" t="s">
        <x:v>34</x:v>
      </x:c>
      <x:c r="G113" s="26" t="s">
        <x:v>285</x:v>
      </x:c>
      <x:c r="H113" s="26" t="s">
        <x:v>94</x:v>
      </x:c>
      <x:c r="I113" s="26" t="s">
        <x:v>59</x:v>
      </x:c>
      <x:c r="J113" s="26" t="str">
        <x:v>Planejada</x:v>
      </x:c>
      <x:c r="K113" s="26" t="str">
        <x:v>Planejada</x:v>
      </x:c>
      <x:c r="L113" s="26" t="s">
        <x:v>38</x:v>
      </x:c>
      <x:c r="M113" s="26" t="str">
        <x:v>Planejada</x:v>
      </x:c>
      <x:c r="N113" s="27" t="str">
        <x:v>Não se aplica</x:v>
      </x:c>
      <x:c r="O113" s="54" t="str">
        <x:v>Não se aplica</x:v>
      </x:c>
      <x:c r="P113" s="51"/>
    </x:row>
    <x:row r="114" ht="64.5" hidden="0" customHeight="1">
      <x:c r="B114" s="16" t="s">
        <x:v>286</x:v>
      </x:c>
      <x:c r="C114" s="17" t="n">
        <x:v>46463.5</x:v>
      </x:c>
      <x:c r="D114" s="18" t="s">
        <x:v>26</x:v>
      </x:c>
      <x:c r="E114" s="19" t="n">
        <x:v>0.770833333333333</x:v>
      </x:c>
      <x:c r="F114" s="18" t="s">
        <x:v>27</x:v>
      </x:c>
      <x:c r="G114" s="20" t="s">
        <x:v>287</x:v>
      </x:c>
      <x:c r="H114" s="20" t="s">
        <x:v>98</x:v>
      </x:c>
      <x:c r="I114" s="20" t="s">
        <x:v>59</x:v>
      </x:c>
      <x:c r="J114" s="20" t="str">
        <x:v>Planejada</x:v>
      </x:c>
      <x:c r="K114" s="20" t="str">
        <x:v>Planejada</x:v>
      </x:c>
      <x:c r="L114" s="20" t="s">
        <x:v>31</x:v>
      </x:c>
      <x:c r="M114" s="20" t="str">
        <x:v>Planejada</x:v>
      </x:c>
      <x:c r="N114" s="20" t="str">
        <x:v>Planejada</x:v>
      </x:c>
      <x:c r="O114" s="55" t="str">
        <x:v>Planejada</x:v>
      </x:c>
      <x:c r="P114" s="51"/>
    </x:row>
    <x:row r="115" ht="64.5" hidden="0" customHeight="1">
      <x:c r="B115" s="9" t="s">
        <x:v>288</x:v>
      </x:c>
      <x:c r="C115" s="10" t="n">
        <x:v>46465.5</x:v>
      </x:c>
      <x:c r="D115" s="11" t="s">
        <x:v>33</x:v>
      </x:c>
      <x:c r="E115" s="12" t="n">
        <x:v>0.5</x:v>
      </x:c>
      <x:c r="F115" s="11" t="s">
        <x:v>34</x:v>
      </x:c>
      <x:c r="G115" s="13" t="s">
        <x:v>289</x:v>
      </x:c>
      <x:c r="H115" s="13" t="s">
        <x:v>102</x:v>
      </x:c>
      <x:c r="I115" s="13" t="s">
        <x:v>47</x:v>
      </x:c>
      <x:c r="J115" s="13" t="str">
        <x:v>Planejada</x:v>
      </x:c>
      <x:c r="K115" s="13" t="str">
        <x:v>Planejada</x:v>
      </x:c>
      <x:c r="L115" s="13" t="s">
        <x:v>38</x:v>
      </x:c>
      <x:c r="M115" s="13" t="str">
        <x:v>Planejada</x:v>
      </x:c>
      <x:c r="N115" s="14" t="str">
        <x:v>Não se aplica</x:v>
      </x:c>
      <x:c r="O115" s="53" t="str">
        <x:v>Não se aplica</x:v>
      </x:c>
      <x:c r="P115" s="51"/>
    </x:row>
    <x:row r="116" ht="64.5" hidden="0" customHeight="1">
      <x:c r="B116" s="16" t="s">
        <x:v>290</x:v>
      </x:c>
      <x:c r="C116" s="17" t="n">
        <x:v>46466.5</x:v>
      </x:c>
      <x:c r="D116" s="18" t="s">
        <x:v>40</x:v>
      </x:c>
      <x:c r="E116" s="19" t="n">
        <x:v>0.416666666666667</x:v>
      </x:c>
      <x:c r="F116" s="18" t="s">
        <x:v>20</x:v>
      </x:c>
      <x:c r="G116" s="20" t="s">
        <x:v>291</x:v>
      </x:c>
      <x:c r="H116" s="20" t="s">
        <x:v>105</x:v>
      </x:c>
      <x:c r="I116" s="20" t="s">
        <x:v>106</x:v>
      </x:c>
      <x:c r="J116" s="20" t="str">
        <x:v>Planejada</x:v>
      </x:c>
      <x:c r="K116" s="20" t="str">
        <x:v>Planejada</x:v>
      </x:c>
      <x:c r="L116" s="20" t="s">
        <x:v>24</x:v>
      </x:c>
      <x:c r="M116" s="20" t="str">
        <x:v>Planejada</x:v>
      </x:c>
      <x:c r="N116" s="21" t="str">
        <x:v>Não se aplica</x:v>
      </x:c>
      <x:c r="O116" s="55" t="str">
        <x:v>Não se aplica</x:v>
      </x:c>
      <x:c r="P116" s="51"/>
    </x:row>
    <x:row r="117" ht="64.5" hidden="0" customHeight="1">
      <x:c r="B117" s="22" t="s">
        <x:v>292</x:v>
      </x:c>
      <x:c r="C117" s="23" t="n">
        <x:v>46468.5</x:v>
      </x:c>
      <x:c r="D117" s="24" t="s">
        <x:v>19</x:v>
      </x:c>
      <x:c r="E117" s="25" t="n">
        <x:v>0.5</x:v>
      </x:c>
      <x:c r="F117" s="24" t="s">
        <x:v>34</x:v>
      </x:c>
      <x:c r="G117" s="26" t="s">
        <x:v>293</x:v>
      </x:c>
      <x:c r="H117" s="26" t="s">
        <x:v>94</x:v>
      </x:c>
      <x:c r="I117" s="26" t="s">
        <x:v>128</x:v>
      </x:c>
      <x:c r="J117" s="26" t="str">
        <x:v>Planejada</x:v>
      </x:c>
      <x:c r="K117" s="26" t="str">
        <x:v>Planejada</x:v>
      </x:c>
      <x:c r="L117" s="26" t="s">
        <x:v>38</x:v>
      </x:c>
      <x:c r="M117" s="26" t="str">
        <x:v>Planejada</x:v>
      </x:c>
      <x:c r="N117" s="27" t="str">
        <x:v>Não se aplica</x:v>
      </x:c>
      <x:c r="O117" s="54" t="str">
        <x:v>Não se aplica</x:v>
      </x:c>
      <x:c r="P117" s="51"/>
    </x:row>
    <x:row r="118" ht="64.5" hidden="0" customHeight="1">
      <x:c r="B118" s="16" t="s">
        <x:v>294</x:v>
      </x:c>
      <x:c r="C118" s="17" t="n">
        <x:v>46470.5</x:v>
      </x:c>
      <x:c r="D118" s="18" t="s">
        <x:v>26</x:v>
      </x:c>
      <x:c r="E118" s="19" t="n">
        <x:v>0.770833333333333</x:v>
      </x:c>
      <x:c r="F118" s="18" t="s">
        <x:v>27</x:v>
      </x:c>
      <x:c r="G118" s="20" t="s">
        <x:v>295</x:v>
      </x:c>
      <x:c r="H118" s="20" t="s">
        <x:v>98</x:v>
      </x:c>
      <x:c r="I118" s="20" t="s">
        <x:v>263</x:v>
      </x:c>
      <x:c r="J118" s="20" t="str">
        <x:v>Planejada</x:v>
      </x:c>
      <x:c r="K118" s="20" t="str">
        <x:v>Planejada</x:v>
      </x:c>
      <x:c r="L118" s="20" t="s">
        <x:v>31</x:v>
      </x:c>
      <x:c r="M118" s="20" t="str">
        <x:v>Planejada</x:v>
      </x:c>
      <x:c r="N118" s="20" t="str">
        <x:v>Planejada</x:v>
      </x:c>
      <x:c r="O118" s="55" t="str">
        <x:v>Planejada</x:v>
      </x:c>
      <x:c r="P118" s="51"/>
    </x:row>
    <x:row r="119" ht="64.5" hidden="0" customHeight="1">
      <x:c r="B119" s="9" t="s">
        <x:v>296</x:v>
      </x:c>
      <x:c r="C119" s="10" t="n">
        <x:v>46472.5</x:v>
      </x:c>
      <x:c r="D119" s="11" t="s">
        <x:v>33</x:v>
      </x:c>
      <x:c r="E119" s="12" t="n">
        <x:v>0.5</x:v>
      </x:c>
      <x:c r="F119" s="11" t="s">
        <x:v>34</x:v>
      </x:c>
      <x:c r="G119" s="13" t="s">
        <x:v>297</x:v>
      </x:c>
      <x:c r="H119" s="13" t="s">
        <x:v>102</x:v>
      </x:c>
      <x:c r="I119" s="13" t="s">
        <x:v>133</x:v>
      </x:c>
      <x:c r="J119" s="13" t="str">
        <x:v>Planejada</x:v>
      </x:c>
      <x:c r="K119" s="13" t="str">
        <x:v>Planejada</x:v>
      </x:c>
      <x:c r="L119" s="13" t="s">
        <x:v>38</x:v>
      </x:c>
      <x:c r="M119" s="13" t="str">
        <x:v>Planejada</x:v>
      </x:c>
      <x:c r="N119" s="14" t="str">
        <x:v>Não se aplica</x:v>
      </x:c>
      <x:c r="O119" s="53" t="str">
        <x:v>Não se aplica</x:v>
      </x:c>
      <x:c r="P119" s="51"/>
    </x:row>
    <x:row r="120" ht="64.5" hidden="0" customHeight="1">
      <x:c r="B120" s="16" t="s">
        <x:v>298</x:v>
      </x:c>
      <x:c r="C120" s="17" t="n">
        <x:v>46473.5</x:v>
      </x:c>
      <x:c r="D120" s="18" t="s">
        <x:v>40</x:v>
      </x:c>
      <x:c r="E120" s="19" t="n">
        <x:v>0.416666666666667</x:v>
      </x:c>
      <x:c r="F120" s="18" t="s">
        <x:v>20</x:v>
      </x:c>
      <x:c r="G120" s="20" t="s">
        <x:v>299</x:v>
      </x:c>
      <x:c r="H120" s="20" t="s">
        <x:v>136</x:v>
      </x:c>
      <x:c r="I120" s="20" t="s">
        <x:v>263</x:v>
      </x:c>
      <x:c r="J120" s="20" t="str">
        <x:v>Planejada</x:v>
      </x:c>
      <x:c r="K120" s="20" t="str">
        <x:v>Planejada</x:v>
      </x:c>
      <x:c r="L120" s="20" t="s">
        <x:v>24</x:v>
      </x:c>
      <x:c r="M120" s="20" t="str">
        <x:v>Planejada</x:v>
      </x:c>
      <x:c r="N120" s="21" t="str">
        <x:v>Não se aplica</x:v>
      </x:c>
      <x:c r="O120" s="55" t="str">
        <x:v>Não se aplica</x:v>
      </x:c>
      <x:c r="P120" s="51"/>
    </x:row>
    <x:row r="121" ht="64.5" hidden="0" customHeight="1">
      <x:c r="B121" s="22" t="s">
        <x:v>300</x:v>
      </x:c>
      <x:c r="C121" s="23" t="n">
        <x:v>46475.5</x:v>
      </x:c>
      <x:c r="D121" s="24" t="s">
        <x:v>19</x:v>
      </x:c>
      <x:c r="E121" s="25" t="n">
        <x:v>0.5</x:v>
      </x:c>
      <x:c r="F121" s="24" t="s">
        <x:v>34</x:v>
      </x:c>
      <x:c r="G121" s="26" t="s">
        <x:v>301</x:v>
      </x:c>
      <x:c r="H121" s="26" t="s">
        <x:v>94</x:v>
      </x:c>
      <x:c r="I121" s="26" t="s">
        <x:v>95</x:v>
      </x:c>
      <x:c r="J121" s="26" t="str">
        <x:v>Planejada</x:v>
      </x:c>
      <x:c r="K121" s="26" t="str">
        <x:v>Planejada</x:v>
      </x:c>
      <x:c r="L121" s="26" t="s">
        <x:v>38</x:v>
      </x:c>
      <x:c r="M121" s="26" t="str">
        <x:v>Planejada</x:v>
      </x:c>
      <x:c r="N121" s="27" t="str">
        <x:v>Não se aplica</x:v>
      </x:c>
      <x:c r="O121" s="54" t="str">
        <x:v>Não se aplica</x:v>
      </x:c>
      <x:c r="P121" s="51"/>
    </x:row>
    <x:row r="122" ht="64.5" hidden="0" customHeight="1">
      <x:c r="B122" s="16" t="s">
        <x:v>302</x:v>
      </x:c>
      <x:c r="C122" s="17" t="n">
        <x:v>46477.5</x:v>
      </x:c>
      <x:c r="D122" s="18" t="s">
        <x:v>26</x:v>
      </x:c>
      <x:c r="E122" s="19" t="n">
        <x:v>0.770833333333333</x:v>
      </x:c>
      <x:c r="F122" s="18" t="s">
        <x:v>27</x:v>
      </x:c>
      <x:c r="G122" s="20" t="s">
        <x:v>303</x:v>
      </x:c>
      <x:c r="H122" s="20" t="s">
        <x:v>98</x:v>
      </x:c>
      <x:c r="I122" s="20" t="s">
        <x:v>99</x:v>
      </x:c>
      <x:c r="J122" s="20" t="str">
        <x:v>Planejada</x:v>
      </x:c>
      <x:c r="K122" s="20" t="str">
        <x:v>Planejada</x:v>
      </x:c>
      <x:c r="L122" s="20" t="s">
        <x:v>31</x:v>
      </x:c>
      <x:c r="M122" s="20" t="str">
        <x:v>Planejada</x:v>
      </x:c>
      <x:c r="N122" s="20" t="str">
        <x:v>Planejada</x:v>
      </x:c>
      <x:c r="O122" s="55" t="str">
        <x:v>Planejada</x:v>
      </x:c>
      <x:c r="P122" s="51"/>
    </x:row>
    <x:row r="123" ht="64.5" hidden="0" customHeight="1">
      <x:c r="B123" s="9" t="s">
        <x:v>304</x:v>
      </x:c>
      <x:c r="C123" s="10" t="n">
        <x:v>46479.5</x:v>
      </x:c>
      <x:c r="D123" s="11" t="s">
        <x:v>33</x:v>
      </x:c>
      <x:c r="E123" s="12" t="n">
        <x:v>0.5</x:v>
      </x:c>
      <x:c r="F123" s="11" t="s">
        <x:v>34</x:v>
      </x:c>
      <x:c r="G123" s="13" t="s">
        <x:v>305</x:v>
      </x:c>
      <x:c r="H123" s="13" t="s">
        <x:v>102</x:v>
      </x:c>
      <x:c r="I123" s="13" t="s">
        <x:v>37</x:v>
      </x:c>
      <x:c r="J123" s="13" t="str">
        <x:v>Planejada</x:v>
      </x:c>
      <x:c r="K123" s="13" t="str">
        <x:v>Planejada</x:v>
      </x:c>
      <x:c r="L123" s="13" t="s">
        <x:v>38</x:v>
      </x:c>
      <x:c r="M123" s="13" t="str">
        <x:v>Planejada</x:v>
      </x:c>
      <x:c r="N123" s="14" t="str">
        <x:v>Não se aplica</x:v>
      </x:c>
      <x:c r="O123" s="53" t="str">
        <x:v>Não se aplica</x:v>
      </x:c>
      <x:c r="P123" s="51"/>
    </x:row>
    <x:row r="124" ht="64.5" hidden="0" customHeight="1">
      <x:c r="B124" s="16" t="s">
        <x:v>306</x:v>
      </x:c>
      <x:c r="C124" s="17" t="n">
        <x:v>46480.5</x:v>
      </x:c>
      <x:c r="D124" s="18" t="s">
        <x:v>40</x:v>
      </x:c>
      <x:c r="E124" s="19" t="n">
        <x:v>0.416666666666667</x:v>
      </x:c>
      <x:c r="F124" s="18" t="s">
        <x:v>20</x:v>
      </x:c>
      <x:c r="G124" s="20" t="s">
        <x:v>307</x:v>
      </x:c>
      <x:c r="H124" s="20" t="s">
        <x:v>105</x:v>
      </x:c>
      <x:c r="I124" s="20" t="s">
        <x:v>106</x:v>
      </x:c>
      <x:c r="J124" s="20" t="str">
        <x:v>Planejada</x:v>
      </x:c>
      <x:c r="K124" s="20" t="str">
        <x:v>Planejada</x:v>
      </x:c>
      <x:c r="L124" s="20" t="s">
        <x:v>24</x:v>
      </x:c>
      <x:c r="M124" s="20" t="str">
        <x:v>Planejada</x:v>
      </x:c>
      <x:c r="N124" s="21" t="str">
        <x:v>Não se aplica</x:v>
      </x:c>
      <x:c r="O124" s="55" t="str">
        <x:v>Não se aplica</x:v>
      </x:c>
      <x:c r="P124" s="51"/>
    </x:row>
    <x:row r="125" ht="64.5" hidden="0" customHeight="1">
      <x:c r="B125" s="22" t="s">
        <x:v>308</x:v>
      </x:c>
      <x:c r="C125" s="23" t="n">
        <x:v>46482.5</x:v>
      </x:c>
      <x:c r="D125" s="24" t="s">
        <x:v>19</x:v>
      </x:c>
      <x:c r="E125" s="25" t="n">
        <x:v>0.5</x:v>
      </x:c>
      <x:c r="F125" s="24" t="s">
        <x:v>34</x:v>
      </x:c>
      <x:c r="G125" s="26" t="s">
        <x:v>309</x:v>
      </x:c>
      <x:c r="H125" s="26" t="s">
        <x:v>94</x:v>
      </x:c>
      <x:c r="I125" s="26" t="s">
        <x:v>109</x:v>
      </x:c>
      <x:c r="J125" s="26" t="str">
        <x:v>Planejada</x:v>
      </x:c>
      <x:c r="K125" s="26" t="str">
        <x:v>Planejada</x:v>
      </x:c>
      <x:c r="L125" s="26" t="s">
        <x:v>38</x:v>
      </x:c>
      <x:c r="M125" s="26" t="str">
        <x:v>Planejada</x:v>
      </x:c>
      <x:c r="N125" s="27" t="str">
        <x:v>Não se aplica</x:v>
      </x:c>
      <x:c r="O125" s="54" t="str">
        <x:v>Não se aplica</x:v>
      </x:c>
      <x:c r="P125" s="51"/>
    </x:row>
    <x:row r="126" ht="64.5" hidden="0" customHeight="1">
      <x:c r="B126" s="16" t="s">
        <x:v>310</x:v>
      </x:c>
      <x:c r="C126" s="17" t="n">
        <x:v>46484.5</x:v>
      </x:c>
      <x:c r="D126" s="18" t="s">
        <x:v>26</x:v>
      </x:c>
      <x:c r="E126" s="19" t="n">
        <x:v>0.770833333333333</x:v>
      </x:c>
      <x:c r="F126" s="18" t="s">
        <x:v>27</x:v>
      </x:c>
      <x:c r="G126" s="20" t="s">
        <x:v>311</x:v>
      </x:c>
      <x:c r="H126" s="20" t="s">
        <x:v>98</x:v>
      </x:c>
      <x:c r="I126" s="20" t="s">
        <x:v>112</x:v>
      </x:c>
      <x:c r="J126" s="20" t="str">
        <x:v>Planejada</x:v>
      </x:c>
      <x:c r="K126" s="20" t="str">
        <x:v>Planejada</x:v>
      </x:c>
      <x:c r="L126" s="20" t="s">
        <x:v>31</x:v>
      </x:c>
      <x:c r="M126" s="20" t="str">
        <x:v>Planejada</x:v>
      </x:c>
      <x:c r="N126" s="20" t="str">
        <x:v>Planejada</x:v>
      </x:c>
      <x:c r="O126" s="55" t="str">
        <x:v>Planejada</x:v>
      </x:c>
      <x:c r="P126" s="51"/>
    </x:row>
    <x:row r="127" ht="64.5" hidden="0" customHeight="1">
      <x:c r="B127" s="9" t="s">
        <x:v>312</x:v>
      </x:c>
      <x:c r="C127" s="10" t="n">
        <x:v>46486.5</x:v>
      </x:c>
      <x:c r="D127" s="11" t="s">
        <x:v>33</x:v>
      </x:c>
      <x:c r="E127" s="12" t="n">
        <x:v>0.5</x:v>
      </x:c>
      <x:c r="F127" s="11" t="s">
        <x:v>34</x:v>
      </x:c>
      <x:c r="G127" s="13" t="s">
        <x:v>313</x:v>
      </x:c>
      <x:c r="H127" s="13" t="s">
        <x:v>102</x:v>
      </x:c>
      <x:c r="I127" s="13" t="s">
        <x:v>115</x:v>
      </x:c>
      <x:c r="J127" s="13" t="str">
        <x:v>Planejada</x:v>
      </x:c>
      <x:c r="K127" s="13" t="str">
        <x:v>Planejada</x:v>
      </x:c>
      <x:c r="L127" s="13" t="s">
        <x:v>38</x:v>
      </x:c>
      <x:c r="M127" s="13" t="str">
        <x:v>Planejada</x:v>
      </x:c>
      <x:c r="N127" s="14" t="str">
        <x:v>Não se aplica</x:v>
      </x:c>
      <x:c r="O127" s="53" t="str">
        <x:v>Não se aplica</x:v>
      </x:c>
      <x:c r="P127" s="51"/>
    </x:row>
    <x:row r="128" ht="64.5" hidden="0" customHeight="1">
      <x:c r="B128" s="16" t="s">
        <x:v>314</x:v>
      </x:c>
      <x:c r="C128" s="17" t="n">
        <x:v>46487.5</x:v>
      </x:c>
      <x:c r="D128" s="18" t="s">
        <x:v>40</x:v>
      </x:c>
      <x:c r="E128" s="19" t="n">
        <x:v>0.416666666666667</x:v>
      </x:c>
      <x:c r="F128" s="18" t="s">
        <x:v>20</x:v>
      </x:c>
      <x:c r="G128" s="20" t="s">
        <x:v>315</x:v>
      </x:c>
      <x:c r="H128" s="20" t="s">
        <x:v>105</x:v>
      </x:c>
      <x:c r="I128" s="20" t="s">
        <x:v>106</x:v>
      </x:c>
      <x:c r="J128" s="20" t="str">
        <x:v>Planejada</x:v>
      </x:c>
      <x:c r="K128" s="20" t="str">
        <x:v>Planejada</x:v>
      </x:c>
      <x:c r="L128" s="20" t="s">
        <x:v>24</x:v>
      </x:c>
      <x:c r="M128" s="20" t="str">
        <x:v>Planejada</x:v>
      </x:c>
      <x:c r="N128" s="21" t="str">
        <x:v>Não se aplica</x:v>
      </x:c>
      <x:c r="O128" s="55" t="str">
        <x:v>Não se aplica</x:v>
      </x:c>
      <x:c r="P128" s="51"/>
    </x:row>
    <x:row r="129" ht="64.5" hidden="0" customHeight="1">
      <x:c r="B129" s="22" t="s">
        <x:v>316</x:v>
      </x:c>
      <x:c r="C129" s="23" t="n">
        <x:v>46489.5</x:v>
      </x:c>
      <x:c r="D129" s="24" t="s">
        <x:v>19</x:v>
      </x:c>
      <x:c r="E129" s="25" t="n">
        <x:v>0.5</x:v>
      </x:c>
      <x:c r="F129" s="24" t="s">
        <x:v>34</x:v>
      </x:c>
      <x:c r="G129" s="26" t="s">
        <x:v>317</x:v>
      </x:c>
      <x:c r="H129" s="26" t="s">
        <x:v>94</x:v>
      </x:c>
      <x:c r="I129" s="26" t="s">
        <x:v>59</x:v>
      </x:c>
      <x:c r="J129" s="26" t="str">
        <x:v>Planejada</x:v>
      </x:c>
      <x:c r="K129" s="26" t="str">
        <x:v>Planejada</x:v>
      </x:c>
      <x:c r="L129" s="26" t="s">
        <x:v>38</x:v>
      </x:c>
      <x:c r="M129" s="26" t="str">
        <x:v>Planejada</x:v>
      </x:c>
      <x:c r="N129" s="27" t="str">
        <x:v>Não se aplica</x:v>
      </x:c>
      <x:c r="O129" s="54" t="str">
        <x:v>Não se aplica</x:v>
      </x:c>
      <x:c r="P129" s="51"/>
    </x:row>
    <x:row r="130" ht="64.5" hidden="0" customHeight="1">
      <x:c r="B130" s="16" t="s">
        <x:v>318</x:v>
      </x:c>
      <x:c r="C130" s="17" t="n">
        <x:v>46491.5</x:v>
      </x:c>
      <x:c r="D130" s="18" t="s">
        <x:v>26</x:v>
      </x:c>
      <x:c r="E130" s="19" t="n">
        <x:v>0.770833333333333</x:v>
      </x:c>
      <x:c r="F130" s="18" t="s">
        <x:v>27</x:v>
      </x:c>
      <x:c r="G130" s="20" t="s">
        <x:v>319</x:v>
      </x:c>
      <x:c r="H130" s="20" t="s">
        <x:v>98</x:v>
      </x:c>
      <x:c r="I130" s="20" t="s">
        <x:v>59</x:v>
      </x:c>
      <x:c r="J130" s="20" t="str">
        <x:v>Planejada</x:v>
      </x:c>
      <x:c r="K130" s="20" t="str">
        <x:v>Planejada</x:v>
      </x:c>
      <x:c r="L130" s="20" t="s">
        <x:v>31</x:v>
      </x:c>
      <x:c r="M130" s="20" t="str">
        <x:v>Planejada</x:v>
      </x:c>
      <x:c r="N130" s="20" t="str">
        <x:v>Planejada</x:v>
      </x:c>
      <x:c r="O130" s="55" t="str">
        <x:v>Planejada</x:v>
      </x:c>
      <x:c r="P130" s="51"/>
    </x:row>
    <x:row r="131" ht="64.5" hidden="0" customHeight="1">
      <x:c r="B131" s="9" t="s">
        <x:v>320</x:v>
      </x:c>
      <x:c r="C131" s="10" t="n">
        <x:v>46493.5</x:v>
      </x:c>
      <x:c r="D131" s="11" t="s">
        <x:v>33</x:v>
      </x:c>
      <x:c r="E131" s="12" t="n">
        <x:v>0.5</x:v>
      </x:c>
      <x:c r="F131" s="11" t="s">
        <x:v>34</x:v>
      </x:c>
      <x:c r="G131" s="13" t="s">
        <x:v>321</x:v>
      </x:c>
      <x:c r="H131" s="13" t="s">
        <x:v>102</x:v>
      </x:c>
      <x:c r="I131" s="13" t="s">
        <x:v>47</x:v>
      </x:c>
      <x:c r="J131" s="13" t="str">
        <x:v>Planejada</x:v>
      </x:c>
      <x:c r="K131" s="13" t="str">
        <x:v>Planejada</x:v>
      </x:c>
      <x:c r="L131" s="13" t="s">
        <x:v>38</x:v>
      </x:c>
      <x:c r="M131" s="13" t="str">
        <x:v>Planejada</x:v>
      </x:c>
      <x:c r="N131" s="14" t="str">
        <x:v>Não se aplica</x:v>
      </x:c>
      <x:c r="O131" s="53" t="str">
        <x:v>Não se aplica</x:v>
      </x:c>
      <x:c r="P131" s="51"/>
    </x:row>
    <x:row r="132" ht="64.5" hidden="0" customHeight="1">
      <x:c r="B132" s="16" t="s">
        <x:v>322</x:v>
      </x:c>
      <x:c r="C132" s="17" t="n">
        <x:v>46494.5</x:v>
      </x:c>
      <x:c r="D132" s="18" t="s">
        <x:v>40</x:v>
      </x:c>
      <x:c r="E132" s="19" t="n">
        <x:v>0.416666666666667</x:v>
      </x:c>
      <x:c r="F132" s="18" t="s">
        <x:v>20</x:v>
      </x:c>
      <x:c r="G132" s="20" t="s">
        <x:v>323</x:v>
      </x:c>
      <x:c r="H132" s="20" t="s">
        <x:v>105</x:v>
      </x:c>
      <x:c r="I132" s="20" t="s">
        <x:v>106</x:v>
      </x:c>
      <x:c r="J132" s="20" t="str">
        <x:v>Planejada</x:v>
      </x:c>
      <x:c r="K132" s="20" t="str">
        <x:v>Planejada</x:v>
      </x:c>
      <x:c r="L132" s="20" t="s">
        <x:v>24</x:v>
      </x:c>
      <x:c r="M132" s="20" t="str">
        <x:v>Planejada</x:v>
      </x:c>
      <x:c r="N132" s="21" t="str">
        <x:v>Não se aplica</x:v>
      </x:c>
      <x:c r="O132" s="55" t="str">
        <x:v>Não se aplica</x:v>
      </x:c>
      <x:c r="P132" s="51"/>
    </x:row>
    <x:row r="133" ht="64.5" hidden="0" customHeight="1">
      <x:c r="B133" s="22" t="s">
        <x:v>324</x:v>
      </x:c>
      <x:c r="C133" s="23" t="n">
        <x:v>46496.5</x:v>
      </x:c>
      <x:c r="D133" s="24" t="s">
        <x:v>19</x:v>
      </x:c>
      <x:c r="E133" s="25" t="n">
        <x:v>0.5</x:v>
      </x:c>
      <x:c r="F133" s="24" t="s">
        <x:v>34</x:v>
      </x:c>
      <x:c r="G133" s="26" t="s">
        <x:v>325</x:v>
      </x:c>
      <x:c r="H133" s="26" t="s">
        <x:v>94</x:v>
      </x:c>
      <x:c r="I133" s="26" t="s">
        <x:v>128</x:v>
      </x:c>
      <x:c r="J133" s="26" t="str">
        <x:v>Planejada</x:v>
      </x:c>
      <x:c r="K133" s="26" t="str">
        <x:v>Planejada</x:v>
      </x:c>
      <x:c r="L133" s="26" t="s">
        <x:v>38</x:v>
      </x:c>
      <x:c r="M133" s="26" t="str">
        <x:v>Planejada</x:v>
      </x:c>
      <x:c r="N133" s="27" t="str">
        <x:v>Não se aplica</x:v>
      </x:c>
      <x:c r="O133" s="54" t="str">
        <x:v>Não se aplica</x:v>
      </x:c>
      <x:c r="P133" s="51"/>
    </x:row>
    <x:row r="134" ht="64.5" hidden="0" customHeight="1">
      <x:c r="B134" s="16" t="s">
        <x:v>326</x:v>
      </x:c>
      <x:c r="C134" s="17" t="n">
        <x:v>46498.5</x:v>
      </x:c>
      <x:c r="D134" s="18" t="s">
        <x:v>26</x:v>
      </x:c>
      <x:c r="E134" s="19" t="n">
        <x:v>0.770833333333333</x:v>
      </x:c>
      <x:c r="F134" s="18" t="s">
        <x:v>27</x:v>
      </x:c>
      <x:c r="G134" s="20" t="s">
        <x:v>327</x:v>
      </x:c>
      <x:c r="H134" s="20" t="s">
        <x:v>98</x:v>
      </x:c>
      <x:c r="I134" s="20" t="s">
        <x:v>263</x:v>
      </x:c>
      <x:c r="J134" s="20" t="str">
        <x:v>Planejada</x:v>
      </x:c>
      <x:c r="K134" s="20" t="str">
        <x:v>Planejada</x:v>
      </x:c>
      <x:c r="L134" s="20" t="s">
        <x:v>31</x:v>
      </x:c>
      <x:c r="M134" s="20" t="str">
        <x:v>Planejada</x:v>
      </x:c>
      <x:c r="N134" s="20" t="str">
        <x:v>Planejada</x:v>
      </x:c>
      <x:c r="O134" s="55" t="str">
        <x:v>Planejada</x:v>
      </x:c>
      <x:c r="P134" s="51"/>
    </x:row>
    <x:row r="135" ht="64.5" hidden="0" customHeight="1">
      <x:c r="B135" s="9" t="s">
        <x:v>328</x:v>
      </x:c>
      <x:c r="C135" s="10" t="n">
        <x:v>46500.5</x:v>
      </x:c>
      <x:c r="D135" s="11" t="s">
        <x:v>33</x:v>
      </x:c>
      <x:c r="E135" s="12" t="n">
        <x:v>0.5</x:v>
      </x:c>
      <x:c r="F135" s="11" t="s">
        <x:v>34</x:v>
      </x:c>
      <x:c r="G135" s="13" t="s">
        <x:v>329</x:v>
      </x:c>
      <x:c r="H135" s="13" t="s">
        <x:v>102</x:v>
      </x:c>
      <x:c r="I135" s="13" t="s">
        <x:v>133</x:v>
      </x:c>
      <x:c r="J135" s="13" t="str">
        <x:v>Planejada</x:v>
      </x:c>
      <x:c r="K135" s="13" t="str">
        <x:v>Planejada</x:v>
      </x:c>
      <x:c r="L135" s="13" t="s">
        <x:v>38</x:v>
      </x:c>
      <x:c r="M135" s="13" t="str">
        <x:v>Planejada</x:v>
      </x:c>
      <x:c r="N135" s="14" t="str">
        <x:v>Não se aplica</x:v>
      </x:c>
      <x:c r="O135" s="53" t="str">
        <x:v>Não se aplica</x:v>
      </x:c>
      <x:c r="P135" s="51"/>
    </x:row>
    <x:row r="136" ht="64.5" hidden="0" customHeight="1">
      <x:c r="B136" s="16" t="s">
        <x:v>330</x:v>
      </x:c>
      <x:c r="C136" s="17" t="n">
        <x:v>46501.5</x:v>
      </x:c>
      <x:c r="D136" s="18" t="s">
        <x:v>40</x:v>
      </x:c>
      <x:c r="E136" s="19" t="n">
        <x:v>0.416666666666667</x:v>
      </x:c>
      <x:c r="F136" s="18" t="s">
        <x:v>20</x:v>
      </x:c>
      <x:c r="G136" s="20" t="s">
        <x:v>331</x:v>
      </x:c>
      <x:c r="H136" s="20" t="s">
        <x:v>136</x:v>
      </x:c>
      <x:c r="I136" s="20" t="s">
        <x:v>263</x:v>
      </x:c>
      <x:c r="J136" s="20" t="str">
        <x:v>Planejada</x:v>
      </x:c>
      <x:c r="K136" s="20" t="str">
        <x:v>Planejada</x:v>
      </x:c>
      <x:c r="L136" s="20" t="s">
        <x:v>24</x:v>
      </x:c>
      <x:c r="M136" s="20" t="str">
        <x:v>Planejada</x:v>
      </x:c>
      <x:c r="N136" s="21" t="str">
        <x:v>Não se aplica</x:v>
      </x:c>
      <x:c r="O136" s="55" t="str">
        <x:v>Não se aplica</x:v>
      </x:c>
      <x:c r="P136" s="51"/>
    </x:row>
    <x:row r="137" ht="64.5" hidden="0" customHeight="1">
      <x:c r="B137" s="22" t="s">
        <x:v>332</x:v>
      </x:c>
      <x:c r="C137" s="23" t="n">
        <x:v>46503.5</x:v>
      </x:c>
      <x:c r="D137" s="24" t="s">
        <x:v>19</x:v>
      </x:c>
      <x:c r="E137" s="25" t="n">
        <x:v>0.5</x:v>
      </x:c>
      <x:c r="F137" s="24" t="s">
        <x:v>34</x:v>
      </x:c>
      <x:c r="G137" s="26" t="s">
        <x:v>333</x:v>
      </x:c>
      <x:c r="H137" s="26" t="s">
        <x:v>94</x:v>
      </x:c>
      <x:c r="I137" s="26" t="s">
        <x:v>95</x:v>
      </x:c>
      <x:c r="J137" s="26" t="str">
        <x:v>Planejada</x:v>
      </x:c>
      <x:c r="K137" s="26" t="str">
        <x:v>Planejada</x:v>
      </x:c>
      <x:c r="L137" s="26" t="s">
        <x:v>38</x:v>
      </x:c>
      <x:c r="M137" s="26" t="str">
        <x:v>Planejada</x:v>
      </x:c>
      <x:c r="N137" s="27" t="str">
        <x:v>Não se aplica</x:v>
      </x:c>
      <x:c r="O137" s="54" t="str">
        <x:v>Não se aplica</x:v>
      </x:c>
      <x:c r="P137" s="51"/>
    </x:row>
    <x:row r="138" ht="64.5" hidden="0" customHeight="1">
      <x:c r="B138" s="16" t="s">
        <x:v>334</x:v>
      </x:c>
      <x:c r="C138" s="17" t="n">
        <x:v>46505.5</x:v>
      </x:c>
      <x:c r="D138" s="18" t="s">
        <x:v>26</x:v>
      </x:c>
      <x:c r="E138" s="19" t="n">
        <x:v>0.770833333333333</x:v>
      </x:c>
      <x:c r="F138" s="18" t="s">
        <x:v>27</x:v>
      </x:c>
      <x:c r="G138" s="20" t="s">
        <x:v>335</x:v>
      </x:c>
      <x:c r="H138" s="20" t="s">
        <x:v>98</x:v>
      </x:c>
      <x:c r="I138" s="20" t="s">
        <x:v>99</x:v>
      </x:c>
      <x:c r="J138" s="20" t="str">
        <x:v>Planejada</x:v>
      </x:c>
      <x:c r="K138" s="20" t="str">
        <x:v>Planejada</x:v>
      </x:c>
      <x:c r="L138" s="20" t="s">
        <x:v>31</x:v>
      </x:c>
      <x:c r="M138" s="20" t="str">
        <x:v>Planejada</x:v>
      </x:c>
      <x:c r="N138" s="20" t="str">
        <x:v>Planejada</x:v>
      </x:c>
      <x:c r="O138" s="55" t="str">
        <x:v>Planejada</x:v>
      </x:c>
      <x:c r="P138" s="51"/>
    </x:row>
    <x:row r="139" ht="64.5" hidden="0" customHeight="1">
      <x:c r="B139" s="9" t="s">
        <x:v>336</x:v>
      </x:c>
      <x:c r="C139" s="10" t="n">
        <x:v>46507.5</x:v>
      </x:c>
      <x:c r="D139" s="11" t="s">
        <x:v>33</x:v>
      </x:c>
      <x:c r="E139" s="12" t="n">
        <x:v>0.5</x:v>
      </x:c>
      <x:c r="F139" s="11" t="s">
        <x:v>34</x:v>
      </x:c>
      <x:c r="G139" s="13" t="s">
        <x:v>337</x:v>
      </x:c>
      <x:c r="H139" s="13" t="s">
        <x:v>102</x:v>
      </x:c>
      <x:c r="I139" s="13" t="s">
        <x:v>37</x:v>
      </x:c>
      <x:c r="J139" s="13" t="str">
        <x:v>Planejada</x:v>
      </x:c>
      <x:c r="K139" s="13" t="str">
        <x:v>Planejada</x:v>
      </x:c>
      <x:c r="L139" s="13" t="s">
        <x:v>38</x:v>
      </x:c>
      <x:c r="M139" s="13" t="str">
        <x:v>Planejada</x:v>
      </x:c>
      <x:c r="N139" s="14" t="str">
        <x:v>Não se aplica</x:v>
      </x:c>
      <x:c r="O139" s="53" t="str">
        <x:v>Não se aplica</x:v>
      </x:c>
      <x:c r="P139" s="51"/>
    </x:row>
    <x:row r="140" ht="64.5" hidden="0" customHeight="1">
      <x:c r="B140" s="16" t="s">
        <x:v>338</x:v>
      </x:c>
      <x:c r="C140" s="17" t="n">
        <x:v>46508.5</x:v>
      </x:c>
      <x:c r="D140" s="18" t="s">
        <x:v>40</x:v>
      </x:c>
      <x:c r="E140" s="19" t="n">
        <x:v>0.416666666666667</x:v>
      </x:c>
      <x:c r="F140" s="18" t="s">
        <x:v>20</x:v>
      </x:c>
      <x:c r="G140" s="20" t="s">
        <x:v>339</x:v>
      </x:c>
      <x:c r="H140" s="20" t="s">
        <x:v>105</x:v>
      </x:c>
      <x:c r="I140" s="20" t="s">
        <x:v>106</x:v>
      </x:c>
      <x:c r="J140" s="20" t="str">
        <x:v>Planejada</x:v>
      </x:c>
      <x:c r="K140" s="20" t="str">
        <x:v>Planejada</x:v>
      </x:c>
      <x:c r="L140" s="20" t="s">
        <x:v>24</x:v>
      </x:c>
      <x:c r="M140" s="20" t="str">
        <x:v>Planejada</x:v>
      </x:c>
      <x:c r="N140" s="21" t="str">
        <x:v>Não se aplica</x:v>
      </x:c>
      <x:c r="O140" s="55" t="str">
        <x:v>Não se aplica</x:v>
      </x:c>
      <x:c r="P140" s="51"/>
    </x:row>
    <x:row r="141" ht="64.5" hidden="0" customHeight="1">
      <x:c r="B141" s="22" t="s">
        <x:v>340</x:v>
      </x:c>
      <x:c r="C141" s="23" t="n">
        <x:v>46510.5</x:v>
      </x:c>
      <x:c r="D141" s="24" t="s">
        <x:v>19</x:v>
      </x:c>
      <x:c r="E141" s="25" t="n">
        <x:v>0.5</x:v>
      </x:c>
      <x:c r="F141" s="24" t="s">
        <x:v>34</x:v>
      </x:c>
      <x:c r="G141" s="26" t="s">
        <x:v>341</x:v>
      </x:c>
      <x:c r="H141" s="26" t="s">
        <x:v>94</x:v>
      </x:c>
      <x:c r="I141" s="26" t="s">
        <x:v>109</x:v>
      </x:c>
      <x:c r="J141" s="26" t="str">
        <x:v>Planejada</x:v>
      </x:c>
      <x:c r="K141" s="26" t="str">
        <x:v>Planejada</x:v>
      </x:c>
      <x:c r="L141" s="26" t="s">
        <x:v>38</x:v>
      </x:c>
      <x:c r="M141" s="26" t="str">
        <x:v>Planejada</x:v>
      </x:c>
      <x:c r="N141" s="27" t="str">
        <x:v>Não se aplica</x:v>
      </x:c>
      <x:c r="O141" s="54" t="str">
        <x:v>Não se aplica</x:v>
      </x:c>
      <x:c r="P141" s="51"/>
    </x:row>
    <x:row r="142" ht="64.5" hidden="0" customHeight="1">
      <x:c r="B142" s="16" t="s">
        <x:v>342</x:v>
      </x:c>
      <x:c r="C142" s="17" t="n">
        <x:v>46512.5</x:v>
      </x:c>
      <x:c r="D142" s="18" t="s">
        <x:v>26</x:v>
      </x:c>
      <x:c r="E142" s="19" t="n">
        <x:v>0.770833333333333</x:v>
      </x:c>
      <x:c r="F142" s="18" t="s">
        <x:v>27</x:v>
      </x:c>
      <x:c r="G142" s="20" t="s">
        <x:v>343</x:v>
      </x:c>
      <x:c r="H142" s="20" t="s">
        <x:v>98</x:v>
      </x:c>
      <x:c r="I142" s="20" t="s">
        <x:v>112</x:v>
      </x:c>
      <x:c r="J142" s="20" t="str">
        <x:v>Planejada</x:v>
      </x:c>
      <x:c r="K142" s="20" t="str">
        <x:v>Planejada</x:v>
      </x:c>
      <x:c r="L142" s="20" t="s">
        <x:v>31</x:v>
      </x:c>
      <x:c r="M142" s="20" t="str">
        <x:v>Planejada</x:v>
      </x:c>
      <x:c r="N142" s="20" t="str">
        <x:v>Planejada</x:v>
      </x:c>
      <x:c r="O142" s="55" t="str">
        <x:v>Planejada</x:v>
      </x:c>
      <x:c r="P142" s="51"/>
    </x:row>
    <x:row r="143" ht="64.5" hidden="0" customHeight="1">
      <x:c r="B143" s="9" t="s">
        <x:v>344</x:v>
      </x:c>
      <x:c r="C143" s="10" t="n">
        <x:v>46514.5</x:v>
      </x:c>
      <x:c r="D143" s="11" t="s">
        <x:v>33</x:v>
      </x:c>
      <x:c r="E143" s="12" t="n">
        <x:v>0.5</x:v>
      </x:c>
      <x:c r="F143" s="11" t="s">
        <x:v>34</x:v>
      </x:c>
      <x:c r="G143" s="13" t="s">
        <x:v>345</x:v>
      </x:c>
      <x:c r="H143" s="13" t="s">
        <x:v>102</x:v>
      </x:c>
      <x:c r="I143" s="13" t="s">
        <x:v>115</x:v>
      </x:c>
      <x:c r="J143" s="13" t="str">
        <x:v>Planejada</x:v>
      </x:c>
      <x:c r="K143" s="13" t="str">
        <x:v>Planejada</x:v>
      </x:c>
      <x:c r="L143" s="13" t="s">
        <x:v>38</x:v>
      </x:c>
      <x:c r="M143" s="13" t="str">
        <x:v>Planejada</x:v>
      </x:c>
      <x:c r="N143" s="14" t="str">
        <x:v>Não se aplica</x:v>
      </x:c>
      <x:c r="O143" s="53" t="str">
        <x:v>Não se aplica</x:v>
      </x:c>
      <x:c r="P143" s="51"/>
    </x:row>
    <x:row r="144" ht="64.5" hidden="0" customHeight="1">
      <x:c r="B144" s="16" t="s">
        <x:v>346</x:v>
      </x:c>
      <x:c r="C144" s="17" t="n">
        <x:v>46515.5</x:v>
      </x:c>
      <x:c r="D144" s="18" t="s">
        <x:v>40</x:v>
      </x:c>
      <x:c r="E144" s="19" t="n">
        <x:v>0.416666666666667</x:v>
      </x:c>
      <x:c r="F144" s="18" t="s">
        <x:v>20</x:v>
      </x:c>
      <x:c r="G144" s="20" t="s">
        <x:v>347</x:v>
      </x:c>
      <x:c r="H144" s="20" t="s">
        <x:v>105</x:v>
      </x:c>
      <x:c r="I144" s="20" t="s">
        <x:v>106</x:v>
      </x:c>
      <x:c r="J144" s="20" t="str">
        <x:v>Planejada</x:v>
      </x:c>
      <x:c r="K144" s="20" t="str">
        <x:v>Planejada</x:v>
      </x:c>
      <x:c r="L144" s="20" t="s">
        <x:v>24</x:v>
      </x:c>
      <x:c r="M144" s="20" t="str">
        <x:v>Planejada</x:v>
      </x:c>
      <x:c r="N144" s="21" t="str">
        <x:v>Não se aplica</x:v>
      </x:c>
      <x:c r="O144" s="55" t="str">
        <x:v>Não se aplica</x:v>
      </x:c>
      <x:c r="P144" s="51"/>
    </x:row>
    <x:row r="145" ht="64.5" hidden="0" customHeight="1">
      <x:c r="B145" s="22" t="s">
        <x:v>348</x:v>
      </x:c>
      <x:c r="C145" s="23" t="n">
        <x:v>46517.5</x:v>
      </x:c>
      <x:c r="D145" s="24" t="s">
        <x:v>19</x:v>
      </x:c>
      <x:c r="E145" s="25" t="n">
        <x:v>0.5</x:v>
      </x:c>
      <x:c r="F145" s="24" t="s">
        <x:v>34</x:v>
      </x:c>
      <x:c r="G145" s="26" t="s">
        <x:v>349</x:v>
      </x:c>
      <x:c r="H145" s="26" t="s">
        <x:v>94</x:v>
      </x:c>
      <x:c r="I145" s="26" t="s">
        <x:v>59</x:v>
      </x:c>
      <x:c r="J145" s="26" t="str">
        <x:v>Planejada</x:v>
      </x:c>
      <x:c r="K145" s="26" t="str">
        <x:v>Planejada</x:v>
      </x:c>
      <x:c r="L145" s="26" t="s">
        <x:v>38</x:v>
      </x:c>
      <x:c r="M145" s="26" t="str">
        <x:v>Planejada</x:v>
      </x:c>
      <x:c r="N145" s="27" t="str">
        <x:v>Não se aplica</x:v>
      </x:c>
      <x:c r="O145" s="54" t="str">
        <x:v>Não se aplica</x:v>
      </x:c>
      <x:c r="P145" s="51"/>
    </x:row>
    <x:row r="146" ht="64.5" hidden="0" customHeight="1">
      <x:c r="B146" s="16" t="s">
        <x:v>350</x:v>
      </x:c>
      <x:c r="C146" s="17" t="n">
        <x:v>46519.5</x:v>
      </x:c>
      <x:c r="D146" s="18" t="s">
        <x:v>26</x:v>
      </x:c>
      <x:c r="E146" s="19" t="n">
        <x:v>0.770833333333333</x:v>
      </x:c>
      <x:c r="F146" s="18" t="s">
        <x:v>27</x:v>
      </x:c>
      <x:c r="G146" s="20" t="s">
        <x:v>351</x:v>
      </x:c>
      <x:c r="H146" s="20" t="s">
        <x:v>98</x:v>
      </x:c>
      <x:c r="I146" s="20" t="s">
        <x:v>59</x:v>
      </x:c>
      <x:c r="J146" s="20" t="str">
        <x:v>Planejada</x:v>
      </x:c>
      <x:c r="K146" s="20" t="str">
        <x:v>Planejada</x:v>
      </x:c>
      <x:c r="L146" s="20" t="s">
        <x:v>31</x:v>
      </x:c>
      <x:c r="M146" s="20" t="str">
        <x:v>Planejada</x:v>
      </x:c>
      <x:c r="N146" s="20" t="str">
        <x:v>Planejada</x:v>
      </x:c>
      <x:c r="O146" s="55" t="str">
        <x:v>Planejada</x:v>
      </x:c>
      <x:c r="P146" s="51"/>
    </x:row>
    <x:row r="147" ht="64.5" hidden="0" customHeight="1">
      <x:c r="B147" s="9" t="s">
        <x:v>352</x:v>
      </x:c>
      <x:c r="C147" s="10" t="n">
        <x:v>46521.5</x:v>
      </x:c>
      <x:c r="D147" s="11" t="s">
        <x:v>33</x:v>
      </x:c>
      <x:c r="E147" s="12" t="n">
        <x:v>0.5</x:v>
      </x:c>
      <x:c r="F147" s="11" t="s">
        <x:v>34</x:v>
      </x:c>
      <x:c r="G147" s="13" t="s">
        <x:v>353</x:v>
      </x:c>
      <x:c r="H147" s="13" t="s">
        <x:v>102</x:v>
      </x:c>
      <x:c r="I147" s="13" t="s">
        <x:v>47</x:v>
      </x:c>
      <x:c r="J147" s="13" t="str">
        <x:v>Planejada</x:v>
      </x:c>
      <x:c r="K147" s="13" t="str">
        <x:v>Planejada</x:v>
      </x:c>
      <x:c r="L147" s="13" t="s">
        <x:v>38</x:v>
      </x:c>
      <x:c r="M147" s="13" t="str">
        <x:v>Planejada</x:v>
      </x:c>
      <x:c r="N147" s="14" t="str">
        <x:v>Não se aplica</x:v>
      </x:c>
      <x:c r="O147" s="53" t="str">
        <x:v>Não se aplica</x:v>
      </x:c>
      <x:c r="P147" s="51"/>
    </x:row>
    <x:row r="148" ht="64.5" hidden="0" customHeight="1">
      <x:c r="B148" s="16" t="s">
        <x:v>354</x:v>
      </x:c>
      <x:c r="C148" s="17" t="n">
        <x:v>46522.5</x:v>
      </x:c>
      <x:c r="D148" s="18" t="s">
        <x:v>40</x:v>
      </x:c>
      <x:c r="E148" s="19" t="n">
        <x:v>0.416666666666667</x:v>
      </x:c>
      <x:c r="F148" s="18" t="s">
        <x:v>20</x:v>
      </x:c>
      <x:c r="G148" s="20" t="s">
        <x:v>355</x:v>
      </x:c>
      <x:c r="H148" s="20" t="s">
        <x:v>105</x:v>
      </x:c>
      <x:c r="I148" s="20" t="s">
        <x:v>106</x:v>
      </x:c>
      <x:c r="J148" s="20" t="str">
        <x:v>Planejada</x:v>
      </x:c>
      <x:c r="K148" s="20" t="str">
        <x:v>Planejada</x:v>
      </x:c>
      <x:c r="L148" s="20" t="s">
        <x:v>24</x:v>
      </x:c>
      <x:c r="M148" s="20" t="str">
        <x:v>Planejada</x:v>
      </x:c>
      <x:c r="N148" s="21" t="str">
        <x:v>Não se aplica</x:v>
      </x:c>
      <x:c r="O148" s="55" t="str">
        <x:v>Não se aplica</x:v>
      </x:c>
      <x:c r="P148" s="51"/>
    </x:row>
    <x:row r="149" ht="64.5" hidden="0" customHeight="1">
      <x:c r="B149" s="22" t="s">
        <x:v>356</x:v>
      </x:c>
      <x:c r="C149" s="23" t="n">
        <x:v>46524.5</x:v>
      </x:c>
      <x:c r="D149" s="24" t="s">
        <x:v>19</x:v>
      </x:c>
      <x:c r="E149" s="25" t="n">
        <x:v>0.5</x:v>
      </x:c>
      <x:c r="F149" s="24" t="s">
        <x:v>34</x:v>
      </x:c>
      <x:c r="G149" s="26" t="s">
        <x:v>357</x:v>
      </x:c>
      <x:c r="H149" s="26" t="s">
        <x:v>94</x:v>
      </x:c>
      <x:c r="I149" s="26" t="s">
        <x:v>128</x:v>
      </x:c>
      <x:c r="J149" s="26" t="str">
        <x:v>Planejada</x:v>
      </x:c>
      <x:c r="K149" s="26" t="str">
        <x:v>Planejada</x:v>
      </x:c>
      <x:c r="L149" s="26" t="s">
        <x:v>38</x:v>
      </x:c>
      <x:c r="M149" s="26" t="str">
        <x:v>Planejada</x:v>
      </x:c>
      <x:c r="N149" s="27" t="str">
        <x:v>Não se aplica</x:v>
      </x:c>
      <x:c r="O149" s="54" t="str">
        <x:v>Não se aplica</x:v>
      </x:c>
      <x:c r="P149" s="51"/>
    </x:row>
    <x:row r="150" ht="64.5" hidden="0" customHeight="1">
      <x:c r="B150" s="16" t="s">
        <x:v>358</x:v>
      </x:c>
      <x:c r="C150" s="17" t="n">
        <x:v>46526.5</x:v>
      </x:c>
      <x:c r="D150" s="18" t="s">
        <x:v>26</x:v>
      </x:c>
      <x:c r="E150" s="19" t="n">
        <x:v>0.770833333333333</x:v>
      </x:c>
      <x:c r="F150" s="18" t="s">
        <x:v>27</x:v>
      </x:c>
      <x:c r="G150" s="20" t="s">
        <x:v>359</x:v>
      </x:c>
      <x:c r="H150" s="20" t="s">
        <x:v>98</x:v>
      </x:c>
      <x:c r="I150" s="20" t="s">
        <x:v>91</x:v>
      </x:c>
      <x:c r="J150" s="20" t="str">
        <x:v>Planejada</x:v>
      </x:c>
      <x:c r="K150" s="20" t="str">
        <x:v>Planejada</x:v>
      </x:c>
      <x:c r="L150" s="20" t="s">
        <x:v>31</x:v>
      </x:c>
      <x:c r="M150" s="20" t="str">
        <x:v>Planejada</x:v>
      </x:c>
      <x:c r="N150" s="20" t="str">
        <x:v>Planejada</x:v>
      </x:c>
      <x:c r="O150" s="55" t="str">
        <x:v>Planejada</x:v>
      </x:c>
      <x:c r="P150" s="51"/>
    </x:row>
    <x:row r="151" ht="64.5" hidden="0" customHeight="1">
      <x:c r="B151" s="9" t="s">
        <x:v>360</x:v>
      </x:c>
      <x:c r="C151" s="10" t="n">
        <x:v>46528.5</x:v>
      </x:c>
      <x:c r="D151" s="11" t="s">
        <x:v>33</x:v>
      </x:c>
      <x:c r="E151" s="12" t="n">
        <x:v>0.5</x:v>
      </x:c>
      <x:c r="F151" s="11" t="s">
        <x:v>34</x:v>
      </x:c>
      <x:c r="G151" s="13" t="s">
        <x:v>361</x:v>
      </x:c>
      <x:c r="H151" s="13" t="s">
        <x:v>102</x:v>
      </x:c>
      <x:c r="I151" s="13" t="s">
        <x:v>133</x:v>
      </x:c>
      <x:c r="J151" s="13" t="str">
        <x:v>Planejada</x:v>
      </x:c>
      <x:c r="K151" s="13" t="str">
        <x:v>Planejada</x:v>
      </x:c>
      <x:c r="L151" s="13" t="s">
        <x:v>38</x:v>
      </x:c>
      <x:c r="M151" s="13" t="str">
        <x:v>Planejada</x:v>
      </x:c>
      <x:c r="N151" s="14" t="str">
        <x:v>Não se aplica</x:v>
      </x:c>
      <x:c r="O151" s="53" t="str">
        <x:v>Não se aplica</x:v>
      </x:c>
      <x:c r="P151" s="51"/>
    </x:row>
    <x:row r="152" ht="64.5" hidden="0" customHeight="1">
      <x:c r="B152" s="16" t="s">
        <x:v>362</x:v>
      </x:c>
      <x:c r="C152" s="17" t="n">
        <x:v>46529.5</x:v>
      </x:c>
      <x:c r="D152" s="18" t="s">
        <x:v>40</x:v>
      </x:c>
      <x:c r="E152" s="19" t="n">
        <x:v>0.416666666666667</x:v>
      </x:c>
      <x:c r="F152" s="18" t="s">
        <x:v>20</x:v>
      </x:c>
      <x:c r="G152" s="20" t="s">
        <x:v>363</x:v>
      </x:c>
      <x:c r="H152" s="20" t="s">
        <x:v>136</x:v>
      </x:c>
      <x:c r="I152" s="20" t="s">
        <x:v>91</x:v>
      </x:c>
      <x:c r="J152" s="20" t="str">
        <x:v>Planejada</x:v>
      </x:c>
      <x:c r="K152" s="20" t="str">
        <x:v>Planejada</x:v>
      </x:c>
      <x:c r="L152" s="20" t="s">
        <x:v>24</x:v>
      </x:c>
      <x:c r="M152" s="20" t="str">
        <x:v>Planejada</x:v>
      </x:c>
      <x:c r="N152" s="21" t="str">
        <x:v>Não se aplica</x:v>
      </x:c>
      <x:c r="O152" s="55" t="str">
        <x:v>Não se aplica</x:v>
      </x:c>
      <x:c r="P152" s="51"/>
    </x:row>
    <x:row r="153" ht="64.5" hidden="0" customHeight="1">
      <x:c r="B153" s="22" t="s">
        <x:v>364</x:v>
      </x:c>
      <x:c r="C153" s="23" t="n">
        <x:v>46531.5</x:v>
      </x:c>
      <x:c r="D153" s="24" t="s">
        <x:v>19</x:v>
      </x:c>
      <x:c r="E153" s="25" t="n">
        <x:v>0.5</x:v>
      </x:c>
      <x:c r="F153" s="24" t="s">
        <x:v>34</x:v>
      </x:c>
      <x:c r="G153" s="26" t="s">
        <x:v>365</x:v>
      </x:c>
      <x:c r="H153" s="26" t="s">
        <x:v>94</x:v>
      </x:c>
      <x:c r="I153" s="26" t="s">
        <x:v>95</x:v>
      </x:c>
      <x:c r="J153" s="26" t="str">
        <x:v>Planejada</x:v>
      </x:c>
      <x:c r="K153" s="26" t="str">
        <x:v>Planejada</x:v>
      </x:c>
      <x:c r="L153" s="26" t="s">
        <x:v>38</x:v>
      </x:c>
      <x:c r="M153" s="26" t="str">
        <x:v>Planejada</x:v>
      </x:c>
      <x:c r="N153" s="27" t="str">
        <x:v>Não se aplica</x:v>
      </x:c>
      <x:c r="O153" s="54" t="str">
        <x:v>Não se aplica</x:v>
      </x:c>
      <x:c r="P153" s="51"/>
    </x:row>
    <x:row r="154" ht="64.5" hidden="0" customHeight="1">
      <x:c r="B154" s="16" t="s">
        <x:v>366</x:v>
      </x:c>
      <x:c r="C154" s="17" t="n">
        <x:v>46533.5</x:v>
      </x:c>
      <x:c r="D154" s="18" t="s">
        <x:v>26</x:v>
      </x:c>
      <x:c r="E154" s="19" t="n">
        <x:v>0.770833333333333</x:v>
      </x:c>
      <x:c r="F154" s="18" t="s">
        <x:v>27</x:v>
      </x:c>
      <x:c r="G154" s="20" t="s">
        <x:v>367</x:v>
      </x:c>
      <x:c r="H154" s="20" t="s">
        <x:v>98</x:v>
      </x:c>
      <x:c r="I154" s="20" t="s">
        <x:v>99</x:v>
      </x:c>
      <x:c r="J154" s="20" t="str">
        <x:v>Planejada</x:v>
      </x:c>
      <x:c r="K154" s="20" t="str">
        <x:v>Planejada</x:v>
      </x:c>
      <x:c r="L154" s="20" t="s">
        <x:v>31</x:v>
      </x:c>
      <x:c r="M154" s="20" t="str">
        <x:v>Planejada</x:v>
      </x:c>
      <x:c r="N154" s="20" t="str">
        <x:v>Planejada</x:v>
      </x:c>
      <x:c r="O154" s="55" t="str">
        <x:v>Planejada</x:v>
      </x:c>
      <x:c r="P154" s="51"/>
    </x:row>
    <x:row r="155" ht="64.5" hidden="0" customHeight="1">
      <x:c r="B155" s="9" t="s">
        <x:v>368</x:v>
      </x:c>
      <x:c r="C155" s="10" t="n">
        <x:v>46535.5</x:v>
      </x:c>
      <x:c r="D155" s="11" t="s">
        <x:v>33</x:v>
      </x:c>
      <x:c r="E155" s="12" t="n">
        <x:v>0.5</x:v>
      </x:c>
      <x:c r="F155" s="11" t="s">
        <x:v>34</x:v>
      </x:c>
      <x:c r="G155" s="13" t="s">
        <x:v>369</x:v>
      </x:c>
      <x:c r="H155" s="13" t="s">
        <x:v>102</x:v>
      </x:c>
      <x:c r="I155" s="13" t="s">
        <x:v>37</x:v>
      </x:c>
      <x:c r="J155" s="13" t="str">
        <x:v>Planejada</x:v>
      </x:c>
      <x:c r="K155" s="13" t="str">
        <x:v>Planejada</x:v>
      </x:c>
      <x:c r="L155" s="13" t="s">
        <x:v>38</x:v>
      </x:c>
      <x:c r="M155" s="13" t="str">
        <x:v>Planejada</x:v>
      </x:c>
      <x:c r="N155" s="14" t="str">
        <x:v>Não se aplica</x:v>
      </x:c>
      <x:c r="O155" s="53" t="str">
        <x:v>Não se aplica</x:v>
      </x:c>
      <x:c r="P155" s="51"/>
    </x:row>
    <x:row r="156" ht="64.5" hidden="0" customHeight="1">
      <x:c r="B156" s="16" t="s">
        <x:v>370</x:v>
      </x:c>
      <x:c r="C156" s="17" t="n">
        <x:v>46536.5</x:v>
      </x:c>
      <x:c r="D156" s="18" t="s">
        <x:v>40</x:v>
      </x:c>
      <x:c r="E156" s="19" t="n">
        <x:v>0.416666666666667</x:v>
      </x:c>
      <x:c r="F156" s="18" t="s">
        <x:v>20</x:v>
      </x:c>
      <x:c r="G156" s="20" t="s">
        <x:v>371</x:v>
      </x:c>
      <x:c r="H156" s="20" t="s">
        <x:v>105</x:v>
      </x:c>
      <x:c r="I156" s="20" t="s">
        <x:v>106</x:v>
      </x:c>
      <x:c r="J156" s="20" t="str">
        <x:v>Planejada</x:v>
      </x:c>
      <x:c r="K156" s="20" t="str">
        <x:v>Planejada</x:v>
      </x:c>
      <x:c r="L156" s="20" t="s">
        <x:v>24</x:v>
      </x:c>
      <x:c r="M156" s="20" t="str">
        <x:v>Planejada</x:v>
      </x:c>
      <x:c r="N156" s="21" t="str">
        <x:v>Não se aplica</x:v>
      </x:c>
      <x:c r="O156" s="55" t="str">
        <x:v>Não se aplica</x:v>
      </x:c>
      <x:c r="P156" s="51"/>
    </x:row>
    <x:row r="157" ht="64.5" hidden="0" customHeight="1">
      <x:c r="B157" s="22" t="s">
        <x:v>372</x:v>
      </x:c>
      <x:c r="C157" s="23" t="n">
        <x:v>46538.5</x:v>
      </x:c>
      <x:c r="D157" s="24" t="s">
        <x:v>19</x:v>
      </x:c>
      <x:c r="E157" s="25" t="n">
        <x:v>0.5</x:v>
      </x:c>
      <x:c r="F157" s="24" t="s">
        <x:v>34</x:v>
      </x:c>
      <x:c r="G157" s="26" t="s">
        <x:v>373</x:v>
      </x:c>
      <x:c r="H157" s="26" t="s">
        <x:v>94</x:v>
      </x:c>
      <x:c r="I157" s="26" t="s">
        <x:v>109</x:v>
      </x:c>
      <x:c r="J157" s="26" t="str">
        <x:v>Planejada</x:v>
      </x:c>
      <x:c r="K157" s="26" t="str">
        <x:v>Planejada</x:v>
      </x:c>
      <x:c r="L157" s="26" t="s">
        <x:v>38</x:v>
      </x:c>
      <x:c r="M157" s="26" t="str">
        <x:v>Planejada</x:v>
      </x:c>
      <x:c r="N157" s="27" t="str">
        <x:v>Não se aplica</x:v>
      </x:c>
      <x:c r="O157" s="54" t="str">
        <x:v>Não se aplica</x:v>
      </x:c>
      <x:c r="P157" s="51"/>
    </x:row>
    <x:row r="158" ht="64.5" hidden="0" customHeight="1">
      <x:c r="B158" s="16" t="s">
        <x:v>374</x:v>
      </x:c>
      <x:c r="C158" s="17" t="n">
        <x:v>46540.5</x:v>
      </x:c>
      <x:c r="D158" s="18" t="s">
        <x:v>26</x:v>
      </x:c>
      <x:c r="E158" s="19" t="n">
        <x:v>0.770833333333333</x:v>
      </x:c>
      <x:c r="F158" s="18" t="s">
        <x:v>27</x:v>
      </x:c>
      <x:c r="G158" s="20" t="s">
        <x:v>375</x:v>
      </x:c>
      <x:c r="H158" s="20" t="s">
        <x:v>98</x:v>
      </x:c>
      <x:c r="I158" s="20" t="s">
        <x:v>112</x:v>
      </x:c>
      <x:c r="J158" s="20" t="str">
        <x:v>Planejada</x:v>
      </x:c>
      <x:c r="K158" s="20" t="str">
        <x:v>Planejada</x:v>
      </x:c>
      <x:c r="L158" s="20" t="s">
        <x:v>31</x:v>
      </x:c>
      <x:c r="M158" s="20" t="str">
        <x:v>Planejada</x:v>
      </x:c>
      <x:c r="N158" s="20" t="str">
        <x:v>Planejada</x:v>
      </x:c>
      <x:c r="O158" s="55" t="str">
        <x:v>Planejada</x:v>
      </x:c>
      <x:c r="P158" s="51"/>
    </x:row>
    <x:row r="159" ht="64.5" hidden="0" customHeight="1">
      <x:c r="B159" s="9" t="s">
        <x:v>376</x:v>
      </x:c>
      <x:c r="C159" s="10" t="n">
        <x:v>46542.5</x:v>
      </x:c>
      <x:c r="D159" s="11" t="s">
        <x:v>33</x:v>
      </x:c>
      <x:c r="E159" s="12" t="n">
        <x:v>0.5</x:v>
      </x:c>
      <x:c r="F159" s="11" t="s">
        <x:v>34</x:v>
      </x:c>
      <x:c r="G159" s="13" t="s">
        <x:v>377</x:v>
      </x:c>
      <x:c r="H159" s="13" t="s">
        <x:v>102</x:v>
      </x:c>
      <x:c r="I159" s="13" t="s">
        <x:v>115</x:v>
      </x:c>
      <x:c r="J159" s="13" t="str">
        <x:v>Planejada</x:v>
      </x:c>
      <x:c r="K159" s="13" t="str">
        <x:v>Planejada</x:v>
      </x:c>
      <x:c r="L159" s="13" t="s">
        <x:v>38</x:v>
      </x:c>
      <x:c r="M159" s="13" t="str">
        <x:v>Planejada</x:v>
      </x:c>
      <x:c r="N159" s="14" t="str">
        <x:v>Não se aplica</x:v>
      </x:c>
      <x:c r="O159" s="53" t="str">
        <x:v>Não se aplica</x:v>
      </x:c>
      <x:c r="P159" s="51"/>
    </x:row>
    <x:row r="160" ht="64.5" hidden="0" customHeight="1">
      <x:c r="B160" s="16" t="s">
        <x:v>378</x:v>
      </x:c>
      <x:c r="C160" s="17" t="n">
        <x:v>46543.5</x:v>
      </x:c>
      <x:c r="D160" s="18" t="s">
        <x:v>40</x:v>
      </x:c>
      <x:c r="E160" s="19" t="n">
        <x:v>0.416666666666667</x:v>
      </x:c>
      <x:c r="F160" s="18" t="s">
        <x:v>20</x:v>
      </x:c>
      <x:c r="G160" s="20" t="s">
        <x:v>379</x:v>
      </x:c>
      <x:c r="H160" s="20" t="s">
        <x:v>105</x:v>
      </x:c>
      <x:c r="I160" s="20" t="s">
        <x:v>106</x:v>
      </x:c>
      <x:c r="J160" s="20" t="str">
        <x:v>Planejada</x:v>
      </x:c>
      <x:c r="K160" s="20" t="str">
        <x:v>Planejada</x:v>
      </x:c>
      <x:c r="L160" s="20" t="s">
        <x:v>24</x:v>
      </x:c>
      <x:c r="M160" s="20" t="str">
        <x:v>Planejada</x:v>
      </x:c>
      <x:c r="N160" s="21" t="str">
        <x:v>Não se aplica</x:v>
      </x:c>
      <x:c r="O160" s="55" t="str">
        <x:v>Não se aplica</x:v>
      </x:c>
      <x:c r="P160" s="51"/>
    </x:row>
    <x:row r="161" ht="64.5" hidden="0" customHeight="1">
      <x:c r="B161" s="22" t="s">
        <x:v>380</x:v>
      </x:c>
      <x:c r="C161" s="23" t="n">
        <x:v>46545.5</x:v>
      </x:c>
      <x:c r="D161" s="24" t="s">
        <x:v>19</x:v>
      </x:c>
      <x:c r="E161" s="25" t="n">
        <x:v>0.5</x:v>
      </x:c>
      <x:c r="F161" s="24" t="s">
        <x:v>34</x:v>
      </x:c>
      <x:c r="G161" s="26" t="s">
        <x:v>381</x:v>
      </x:c>
      <x:c r="H161" s="26" t="s">
        <x:v>94</x:v>
      </x:c>
      <x:c r="I161" s="26" t="s">
        <x:v>59</x:v>
      </x:c>
      <x:c r="J161" s="26" t="str">
        <x:v>Planejada</x:v>
      </x:c>
      <x:c r="K161" s="26" t="str">
        <x:v>Planejada</x:v>
      </x:c>
      <x:c r="L161" s="26" t="s">
        <x:v>38</x:v>
      </x:c>
      <x:c r="M161" s="26" t="str">
        <x:v>Planejada</x:v>
      </x:c>
      <x:c r="N161" s="27" t="str">
        <x:v>Não se aplica</x:v>
      </x:c>
      <x:c r="O161" s="54" t="str">
        <x:v>Não se aplica</x:v>
      </x:c>
      <x:c r="P161" s="51"/>
    </x:row>
    <x:row r="162" ht="64.5" hidden="0" customHeight="1">
      <x:c r="B162" s="16" t="s">
        <x:v>382</x:v>
      </x:c>
      <x:c r="C162" s="17" t="n">
        <x:v>46547.5</x:v>
      </x:c>
      <x:c r="D162" s="18" t="s">
        <x:v>26</x:v>
      </x:c>
      <x:c r="E162" s="19" t="n">
        <x:v>0.770833333333333</x:v>
      </x:c>
      <x:c r="F162" s="18" t="s">
        <x:v>27</x:v>
      </x:c>
      <x:c r="G162" s="20" t="s">
        <x:v>383</x:v>
      </x:c>
      <x:c r="H162" s="20" t="s">
        <x:v>98</x:v>
      </x:c>
      <x:c r="I162" s="20" t="s">
        <x:v>59</x:v>
      </x:c>
      <x:c r="J162" s="20" t="str">
        <x:v>Planejada</x:v>
      </x:c>
      <x:c r="K162" s="20" t="str">
        <x:v>Planejada</x:v>
      </x:c>
      <x:c r="L162" s="20" t="s">
        <x:v>31</x:v>
      </x:c>
      <x:c r="M162" s="20" t="str">
        <x:v>Planejada</x:v>
      </x:c>
      <x:c r="N162" s="20" t="str">
        <x:v>Planejada</x:v>
      </x:c>
      <x:c r="O162" s="55" t="str">
        <x:v>Planejada</x:v>
      </x:c>
      <x:c r="P162" s="51"/>
    </x:row>
    <x:row r="163" ht="64.5" hidden="0" customHeight="1">
      <x:c r="B163" s="9" t="s">
        <x:v>384</x:v>
      </x:c>
      <x:c r="C163" s="10" t="n">
        <x:v>46549.5</x:v>
      </x:c>
      <x:c r="D163" s="11" t="s">
        <x:v>33</x:v>
      </x:c>
      <x:c r="E163" s="12" t="n">
        <x:v>0.5</x:v>
      </x:c>
      <x:c r="F163" s="11" t="s">
        <x:v>34</x:v>
      </x:c>
      <x:c r="G163" s="13" t="s">
        <x:v>385</x:v>
      </x:c>
      <x:c r="H163" s="13" t="s">
        <x:v>102</x:v>
      </x:c>
      <x:c r="I163" s="13" t="s">
        <x:v>47</x:v>
      </x:c>
      <x:c r="J163" s="13" t="str">
        <x:v>Planejada</x:v>
      </x:c>
      <x:c r="K163" s="13" t="str">
        <x:v>Planejada</x:v>
      </x:c>
      <x:c r="L163" s="13" t="s">
        <x:v>38</x:v>
      </x:c>
      <x:c r="M163" s="13" t="str">
        <x:v>Planejada</x:v>
      </x:c>
      <x:c r="N163" s="14" t="str">
        <x:v>Não se aplica</x:v>
      </x:c>
      <x:c r="O163" s="53" t="str">
        <x:v>Não se aplica</x:v>
      </x:c>
      <x:c r="P163" s="51"/>
    </x:row>
    <x:row r="164" ht="64.5" hidden="0" customHeight="1">
      <x:c r="B164" s="16" t="s">
        <x:v>386</x:v>
      </x:c>
      <x:c r="C164" s="17" t="n">
        <x:v>46550.5</x:v>
      </x:c>
      <x:c r="D164" s="18" t="s">
        <x:v>40</x:v>
      </x:c>
      <x:c r="E164" s="19" t="n">
        <x:v>0.416666666666667</x:v>
      </x:c>
      <x:c r="F164" s="18" t="s">
        <x:v>20</x:v>
      </x:c>
      <x:c r="G164" s="20" t="s">
        <x:v>387</x:v>
      </x:c>
      <x:c r="H164" s="20" t="s">
        <x:v>105</x:v>
      </x:c>
      <x:c r="I164" s="20" t="s">
        <x:v>106</x:v>
      </x:c>
      <x:c r="J164" s="20" t="str">
        <x:v>Planejada</x:v>
      </x:c>
      <x:c r="K164" s="20" t="str">
        <x:v>Planejada</x:v>
      </x:c>
      <x:c r="L164" s="20" t="s">
        <x:v>24</x:v>
      </x:c>
      <x:c r="M164" s="20" t="str">
        <x:v>Planejada</x:v>
      </x:c>
      <x:c r="N164" s="21" t="str">
        <x:v>Não se aplica</x:v>
      </x:c>
      <x:c r="O164" s="55" t="str">
        <x:v>Não se aplica</x:v>
      </x:c>
      <x:c r="P164" s="51"/>
    </x:row>
    <x:row r="165" ht="64.5" hidden="0" customHeight="1">
      <x:c r="B165" s="22" t="s">
        <x:v>388</x:v>
      </x:c>
      <x:c r="C165" s="23" t="n">
        <x:v>46552.5</x:v>
      </x:c>
      <x:c r="D165" s="24" t="s">
        <x:v>19</x:v>
      </x:c>
      <x:c r="E165" s="25" t="n">
        <x:v>0.5</x:v>
      </x:c>
      <x:c r="F165" s="24" t="s">
        <x:v>34</x:v>
      </x:c>
      <x:c r="G165" s="26" t="s">
        <x:v>389</x:v>
      </x:c>
      <x:c r="H165" s="26" t="s">
        <x:v>94</x:v>
      </x:c>
      <x:c r="I165" s="26" t="s">
        <x:v>128</x:v>
      </x:c>
      <x:c r="J165" s="26" t="str">
        <x:v>Planejada</x:v>
      </x:c>
      <x:c r="K165" s="26" t="str">
        <x:v>Planejada</x:v>
      </x:c>
      <x:c r="L165" s="26" t="s">
        <x:v>38</x:v>
      </x:c>
      <x:c r="M165" s="26" t="str">
        <x:v>Planejada</x:v>
      </x:c>
      <x:c r="N165" s="27" t="str">
        <x:v>Não se aplica</x:v>
      </x:c>
      <x:c r="O165" s="54" t="str">
        <x:v>Não se aplica</x:v>
      </x:c>
      <x:c r="P165" s="51"/>
    </x:row>
    <x:row r="166" ht="64.5" hidden="0" customHeight="1">
      <x:c r="B166" s="16" t="s">
        <x:v>390</x:v>
      </x:c>
      <x:c r="C166" s="17" t="n">
        <x:v>46554.5</x:v>
      </x:c>
      <x:c r="D166" s="18" t="s">
        <x:v>26</x:v>
      </x:c>
      <x:c r="E166" s="19" t="n">
        <x:v>0.770833333333333</x:v>
      </x:c>
      <x:c r="F166" s="18" t="s">
        <x:v>27</x:v>
      </x:c>
      <x:c r="G166" s="20" t="s">
        <x:v>391</x:v>
      </x:c>
      <x:c r="H166" s="20" t="s">
        <x:v>98</x:v>
      </x:c>
      <x:c r="I166" s="20" t="s">
        <x:v>91</x:v>
      </x:c>
      <x:c r="J166" s="20" t="str">
        <x:v>Planejada</x:v>
      </x:c>
      <x:c r="K166" s="20" t="str">
        <x:v>Planejada</x:v>
      </x:c>
      <x:c r="L166" s="20" t="s">
        <x:v>31</x:v>
      </x:c>
      <x:c r="M166" s="20" t="str">
        <x:v>Planejada</x:v>
      </x:c>
      <x:c r="N166" s="20" t="str">
        <x:v>Planejada</x:v>
      </x:c>
      <x:c r="O166" s="55" t="str">
        <x:v>Planejada</x:v>
      </x:c>
      <x:c r="P166" s="51"/>
    </x:row>
    <x:row r="167" ht="64.5" hidden="0" customHeight="1">
      <x:c r="B167" s="9" t="s">
        <x:v>392</x:v>
      </x:c>
      <x:c r="C167" s="10" t="n">
        <x:v>46556.5</x:v>
      </x:c>
      <x:c r="D167" s="11" t="s">
        <x:v>33</x:v>
      </x:c>
      <x:c r="E167" s="12" t="n">
        <x:v>0.5</x:v>
      </x:c>
      <x:c r="F167" s="11" t="s">
        <x:v>34</x:v>
      </x:c>
      <x:c r="G167" s="13" t="s">
        <x:v>393</x:v>
      </x:c>
      <x:c r="H167" s="13" t="s">
        <x:v>102</x:v>
      </x:c>
      <x:c r="I167" s="13" t="s">
        <x:v>133</x:v>
      </x:c>
      <x:c r="J167" s="13" t="str">
        <x:v>Planejada</x:v>
      </x:c>
      <x:c r="K167" s="13" t="str">
        <x:v>Planejada</x:v>
      </x:c>
      <x:c r="L167" s="13" t="s">
        <x:v>38</x:v>
      </x:c>
      <x:c r="M167" s="13" t="str">
        <x:v>Planejada</x:v>
      </x:c>
      <x:c r="N167" s="14" t="str">
        <x:v>Não se aplica</x:v>
      </x:c>
      <x:c r="O167" s="53" t="str">
        <x:v>Não se aplica</x:v>
      </x:c>
      <x:c r="P167" s="51"/>
    </x:row>
    <x:row r="168" ht="64.5" hidden="0" customHeight="1">
      <x:c r="B168" s="16" t="s">
        <x:v>394</x:v>
      </x:c>
      <x:c r="C168" s="17" t="n">
        <x:v>46557.5</x:v>
      </x:c>
      <x:c r="D168" s="18" t="s">
        <x:v>40</x:v>
      </x:c>
      <x:c r="E168" s="19" t="n">
        <x:v>0.416666666666667</x:v>
      </x:c>
      <x:c r="F168" s="18" t="s">
        <x:v>20</x:v>
      </x:c>
      <x:c r="G168" s="20" t="s">
        <x:v>395</x:v>
      </x:c>
      <x:c r="H168" s="20" t="s">
        <x:v>136</x:v>
      </x:c>
      <x:c r="I168" s="20" t="s">
        <x:v>91</x:v>
      </x:c>
      <x:c r="J168" s="20" t="str">
        <x:v>Planejada</x:v>
      </x:c>
      <x:c r="K168" s="20" t="str">
        <x:v>Planejada</x:v>
      </x:c>
      <x:c r="L168" s="20" t="s">
        <x:v>24</x:v>
      </x:c>
      <x:c r="M168" s="20" t="str">
        <x:v>Planejada</x:v>
      </x:c>
      <x:c r="N168" s="21" t="str">
        <x:v>Não se aplica</x:v>
      </x:c>
      <x:c r="O168" s="55" t="str">
        <x:v>Não se aplica</x:v>
      </x:c>
      <x:c r="P168" s="51"/>
    </x:row>
    <x:row r="169" ht="64.5" hidden="0" customHeight="1">
      <x:c r="B169" s="22" t="s">
        <x:v>396</x:v>
      </x:c>
      <x:c r="C169" s="23" t="n">
        <x:v>46559.5</x:v>
      </x:c>
      <x:c r="D169" s="24" t="s">
        <x:v>19</x:v>
      </x:c>
      <x:c r="E169" s="25" t="n">
        <x:v>0.5</x:v>
      </x:c>
      <x:c r="F169" s="24" t="s">
        <x:v>34</x:v>
      </x:c>
      <x:c r="G169" s="26" t="s">
        <x:v>397</x:v>
      </x:c>
      <x:c r="H169" s="26" t="s">
        <x:v>94</x:v>
      </x:c>
      <x:c r="I169" s="26" t="s">
        <x:v>95</x:v>
      </x:c>
      <x:c r="J169" s="26" t="str">
        <x:v>Planejada</x:v>
      </x:c>
      <x:c r="K169" s="26" t="str">
        <x:v>Planejada</x:v>
      </x:c>
      <x:c r="L169" s="26" t="s">
        <x:v>38</x:v>
      </x:c>
      <x:c r="M169" s="26" t="str">
        <x:v>Planejada</x:v>
      </x:c>
      <x:c r="N169" s="27" t="str">
        <x:v>Não se aplica</x:v>
      </x:c>
      <x:c r="O169" s="54" t="str">
        <x:v>Não se aplica</x:v>
      </x:c>
      <x:c r="P169" s="51"/>
    </x:row>
    <x:row r="170" ht="64.5" hidden="0" customHeight="1">
      <x:c r="B170" s="16" t="s">
        <x:v>398</x:v>
      </x:c>
      <x:c r="C170" s="17" t="n">
        <x:v>46561.5</x:v>
      </x:c>
      <x:c r="D170" s="18" t="s">
        <x:v>26</x:v>
      </x:c>
      <x:c r="E170" s="19" t="n">
        <x:v>0.770833333333333</x:v>
      </x:c>
      <x:c r="F170" s="18" t="s">
        <x:v>27</x:v>
      </x:c>
      <x:c r="G170" s="20" t="s">
        <x:v>399</x:v>
      </x:c>
      <x:c r="H170" s="20" t="s">
        <x:v>98</x:v>
      </x:c>
      <x:c r="I170" s="20" t="s">
        <x:v>99</x:v>
      </x:c>
      <x:c r="J170" s="20" t="str">
        <x:v>Planejada</x:v>
      </x:c>
      <x:c r="K170" s="20" t="str">
        <x:v>Planejada</x:v>
      </x:c>
      <x:c r="L170" s="20" t="s">
        <x:v>31</x:v>
      </x:c>
      <x:c r="M170" s="20" t="str">
        <x:v>Planejada</x:v>
      </x:c>
      <x:c r="N170" s="20" t="str">
        <x:v>Planejada</x:v>
      </x:c>
      <x:c r="O170" s="55" t="str">
        <x:v>Planejada</x:v>
      </x:c>
      <x:c r="P170" s="51"/>
    </x:row>
    <x:row r="171" ht="64.5" hidden="0" customHeight="1">
      <x:c r="B171" s="9" t="s">
        <x:v>400</x:v>
      </x:c>
      <x:c r="C171" s="10" t="n">
        <x:v>46563.5</x:v>
      </x:c>
      <x:c r="D171" s="11" t="s">
        <x:v>33</x:v>
      </x:c>
      <x:c r="E171" s="12" t="n">
        <x:v>0.5</x:v>
      </x:c>
      <x:c r="F171" s="11" t="s">
        <x:v>34</x:v>
      </x:c>
      <x:c r="G171" s="13" t="s">
        <x:v>401</x:v>
      </x:c>
      <x:c r="H171" s="13" t="s">
        <x:v>102</x:v>
      </x:c>
      <x:c r="I171" s="13" t="s">
        <x:v>37</x:v>
      </x:c>
      <x:c r="J171" s="13" t="str">
        <x:v>Planejada</x:v>
      </x:c>
      <x:c r="K171" s="13" t="str">
        <x:v>Planejada</x:v>
      </x:c>
      <x:c r="L171" s="13" t="s">
        <x:v>38</x:v>
      </x:c>
      <x:c r="M171" s="13" t="str">
        <x:v>Planejada</x:v>
      </x:c>
      <x:c r="N171" s="14" t="str">
        <x:v>Não se aplica</x:v>
      </x:c>
      <x:c r="O171" s="53" t="str">
        <x:v>Não se aplica</x:v>
      </x:c>
      <x:c r="P171" s="51"/>
    </x:row>
    <x:row r="172" ht="64.5" hidden="0" customHeight="1">
      <x:c r="B172" s="16" t="s">
        <x:v>402</x:v>
      </x:c>
      <x:c r="C172" s="17" t="n">
        <x:v>46564.5</x:v>
      </x:c>
      <x:c r="D172" s="18" t="s">
        <x:v>40</x:v>
      </x:c>
      <x:c r="E172" s="19" t="n">
        <x:v>0.416666666666667</x:v>
      </x:c>
      <x:c r="F172" s="18" t="s">
        <x:v>20</x:v>
      </x:c>
      <x:c r="G172" s="20" t="s">
        <x:v>403</x:v>
      </x:c>
      <x:c r="H172" s="20" t="s">
        <x:v>105</x:v>
      </x:c>
      <x:c r="I172" s="20" t="s">
        <x:v>106</x:v>
      </x:c>
      <x:c r="J172" s="20" t="str">
        <x:v>Planejada</x:v>
      </x:c>
      <x:c r="K172" s="20" t="str">
        <x:v>Planejada</x:v>
      </x:c>
      <x:c r="L172" s="20" t="s">
        <x:v>24</x:v>
      </x:c>
      <x:c r="M172" s="20" t="str">
        <x:v>Planejada</x:v>
      </x:c>
      <x:c r="N172" s="21" t="str">
        <x:v>Não se aplica</x:v>
      </x:c>
      <x:c r="O172" s="55" t="str">
        <x:v>Não se aplica</x:v>
      </x:c>
      <x:c r="P172" s="51"/>
    </x:row>
    <x:row r="173" ht="64.5" hidden="0" customHeight="1">
      <x:c r="B173" s="22" t="s">
        <x:v>404</x:v>
      </x:c>
      <x:c r="C173" s="23" t="n">
        <x:v>46566.5</x:v>
      </x:c>
      <x:c r="D173" s="24" t="s">
        <x:v>19</x:v>
      </x:c>
      <x:c r="E173" s="25" t="n">
        <x:v>0.5</x:v>
      </x:c>
      <x:c r="F173" s="24" t="s">
        <x:v>34</x:v>
      </x:c>
      <x:c r="G173" s="26" t="s">
        <x:v>405</x:v>
      </x:c>
      <x:c r="H173" s="26" t="s">
        <x:v>94</x:v>
      </x:c>
      <x:c r="I173" s="26" t="s">
        <x:v>109</x:v>
      </x:c>
      <x:c r="J173" s="26" t="str">
        <x:v>Planejada</x:v>
      </x:c>
      <x:c r="K173" s="26" t="str">
        <x:v>Planejada</x:v>
      </x:c>
      <x:c r="L173" s="26" t="s">
        <x:v>38</x:v>
      </x:c>
      <x:c r="M173" s="26" t="str">
        <x:v>Planejada</x:v>
      </x:c>
      <x:c r="N173" s="27" t="str">
        <x:v>Não se aplica</x:v>
      </x:c>
      <x:c r="O173" s="54" t="str">
        <x:v>Não se aplica</x:v>
      </x:c>
      <x:c r="P173" s="51"/>
    </x:row>
    <x:row r="174" ht="64.5" hidden="0" customHeight="1">
      <x:c r="B174" s="16" t="s">
        <x:v>406</x:v>
      </x:c>
      <x:c r="C174" s="17" t="n">
        <x:v>46568.5</x:v>
      </x:c>
      <x:c r="D174" s="18" t="s">
        <x:v>26</x:v>
      </x:c>
      <x:c r="E174" s="19" t="n">
        <x:v>0.770833333333333</x:v>
      </x:c>
      <x:c r="F174" s="18" t="s">
        <x:v>27</x:v>
      </x:c>
      <x:c r="G174" s="20" t="s">
        <x:v>407</x:v>
      </x:c>
      <x:c r="H174" s="20" t="s">
        <x:v>98</x:v>
      </x:c>
      <x:c r="I174" s="20" t="s">
        <x:v>112</x:v>
      </x:c>
      <x:c r="J174" s="20" t="str">
        <x:v>Planejada</x:v>
      </x:c>
      <x:c r="K174" s="20" t="str">
        <x:v>Planejada</x:v>
      </x:c>
      <x:c r="L174" s="20" t="s">
        <x:v>31</x:v>
      </x:c>
      <x:c r="M174" s="20" t="str">
        <x:v>Planejada</x:v>
      </x:c>
      <x:c r="N174" s="20" t="str">
        <x:v>Planejada</x:v>
      </x:c>
      <x:c r="O174" s="55" t="str">
        <x:v>Planejada</x:v>
      </x:c>
      <x:c r="P174" s="51"/>
    </x:row>
    <x:row r="175" ht="64.5" hidden="0" customHeight="1">
      <x:c r="B175" s="9" t="s">
        <x:v>408</x:v>
      </x:c>
      <x:c r="C175" s="10" t="n">
        <x:v>46570.5</x:v>
      </x:c>
      <x:c r="D175" s="11" t="s">
        <x:v>33</x:v>
      </x:c>
      <x:c r="E175" s="12" t="n">
        <x:v>0.5</x:v>
      </x:c>
      <x:c r="F175" s="11" t="s">
        <x:v>34</x:v>
      </x:c>
      <x:c r="G175" s="13" t="s">
        <x:v>409</x:v>
      </x:c>
      <x:c r="H175" s="13" t="s">
        <x:v>102</x:v>
      </x:c>
      <x:c r="I175" s="13" t="s">
        <x:v>115</x:v>
      </x:c>
      <x:c r="J175" s="13" t="str">
        <x:v>Planejada</x:v>
      </x:c>
      <x:c r="K175" s="13" t="str">
        <x:v>Planejada</x:v>
      </x:c>
      <x:c r="L175" s="13" t="s">
        <x:v>38</x:v>
      </x:c>
      <x:c r="M175" s="13" t="str">
        <x:v>Planejada</x:v>
      </x:c>
      <x:c r="N175" s="14" t="str">
        <x:v>Não se aplica</x:v>
      </x:c>
      <x:c r="O175" s="53" t="str">
        <x:v>Não se aplica</x:v>
      </x:c>
      <x:c r="P175" s="51"/>
    </x:row>
    <x:row r="176" ht="64.5" hidden="0" customHeight="1">
      <x:c r="B176" s="16" t="s">
        <x:v>410</x:v>
      </x:c>
      <x:c r="C176" s="17" t="n">
        <x:v>46571.5</x:v>
      </x:c>
      <x:c r="D176" s="18" t="s">
        <x:v>40</x:v>
      </x:c>
      <x:c r="E176" s="19" t="n">
        <x:v>0.416666666666667</x:v>
      </x:c>
      <x:c r="F176" s="18" t="s">
        <x:v>20</x:v>
      </x:c>
      <x:c r="G176" s="20" t="s">
        <x:v>411</x:v>
      </x:c>
      <x:c r="H176" s="20" t="s">
        <x:v>105</x:v>
      </x:c>
      <x:c r="I176" s="20" t="s">
        <x:v>106</x:v>
      </x:c>
      <x:c r="J176" s="20" t="str">
        <x:v>Planejada</x:v>
      </x:c>
      <x:c r="K176" s="20" t="str">
        <x:v>Planejada</x:v>
      </x:c>
      <x:c r="L176" s="20" t="s">
        <x:v>24</x:v>
      </x:c>
      <x:c r="M176" s="20" t="str">
        <x:v>Planejada</x:v>
      </x:c>
      <x:c r="N176" s="21" t="str">
        <x:v>Não se aplica</x:v>
      </x:c>
      <x:c r="O176" s="55" t="str">
        <x:v>Não se aplica</x:v>
      </x:c>
      <x:c r="P176" s="51"/>
    </x:row>
    <x:row r="177" ht="64.5" hidden="0" customHeight="1">
      <x:c r="B177" s="22" t="s">
        <x:v>412</x:v>
      </x:c>
      <x:c r="C177" s="23" t="n">
        <x:v>46573.5</x:v>
      </x:c>
      <x:c r="D177" s="24" t="s">
        <x:v>19</x:v>
      </x:c>
      <x:c r="E177" s="25" t="n">
        <x:v>0.5</x:v>
      </x:c>
      <x:c r="F177" s="24" t="s">
        <x:v>34</x:v>
      </x:c>
      <x:c r="G177" s="26" t="s">
        <x:v>413</x:v>
      </x:c>
      <x:c r="H177" s="26" t="s">
        <x:v>94</x:v>
      </x:c>
      <x:c r="I177" s="26" t="s">
        <x:v>59</x:v>
      </x:c>
      <x:c r="J177" s="26" t="str">
        <x:v>Planejada</x:v>
      </x:c>
      <x:c r="K177" s="26" t="str">
        <x:v>Planejada</x:v>
      </x:c>
      <x:c r="L177" s="26" t="s">
        <x:v>38</x:v>
      </x:c>
      <x:c r="M177" s="26" t="str">
        <x:v>Planejada</x:v>
      </x:c>
      <x:c r="N177" s="27" t="str">
        <x:v>Não se aplica</x:v>
      </x:c>
      <x:c r="O177" s="54" t="str">
        <x:v>Não se aplica</x:v>
      </x:c>
      <x:c r="P177" s="51"/>
    </x:row>
    <x:row r="178" ht="64.5" hidden="0" customHeight="1">
      <x:c r="B178" s="16" t="s">
        <x:v>414</x:v>
      </x:c>
      <x:c r="C178" s="17" t="n">
        <x:v>46575.5</x:v>
      </x:c>
      <x:c r="D178" s="18" t="s">
        <x:v>26</x:v>
      </x:c>
      <x:c r="E178" s="19" t="n">
        <x:v>0.770833333333333</x:v>
      </x:c>
      <x:c r="F178" s="18" t="s">
        <x:v>27</x:v>
      </x:c>
      <x:c r="G178" s="20" t="s">
        <x:v>415</x:v>
      </x:c>
      <x:c r="H178" s="20" t="s">
        <x:v>98</x:v>
      </x:c>
      <x:c r="I178" s="20" t="s">
        <x:v>59</x:v>
      </x:c>
      <x:c r="J178" s="20" t="str">
        <x:v>Planejada</x:v>
      </x:c>
      <x:c r="K178" s="20" t="str">
        <x:v>Planejada</x:v>
      </x:c>
      <x:c r="L178" s="20" t="s">
        <x:v>31</x:v>
      </x:c>
      <x:c r="M178" s="20" t="str">
        <x:v>Planejada</x:v>
      </x:c>
      <x:c r="N178" s="20" t="str">
        <x:v>Planejada</x:v>
      </x:c>
      <x:c r="O178" s="55" t="str">
        <x:v>Planejada</x:v>
      </x:c>
      <x:c r="P178" s="51"/>
    </x:row>
    <x:row r="179" ht="64.5" hidden="0" customHeight="1">
      <x:c r="B179" s="9" t="s">
        <x:v>416</x:v>
      </x:c>
      <x:c r="C179" s="10" t="n">
        <x:v>46577.5</x:v>
      </x:c>
      <x:c r="D179" s="11" t="s">
        <x:v>33</x:v>
      </x:c>
      <x:c r="E179" s="12" t="n">
        <x:v>0.5</x:v>
      </x:c>
      <x:c r="F179" s="11" t="s">
        <x:v>34</x:v>
      </x:c>
      <x:c r="G179" s="13" t="s">
        <x:v>417</x:v>
      </x:c>
      <x:c r="H179" s="13" t="s">
        <x:v>102</x:v>
      </x:c>
      <x:c r="I179" s="13" t="s">
        <x:v>47</x:v>
      </x:c>
      <x:c r="J179" s="13" t="str">
        <x:v>Planejada</x:v>
      </x:c>
      <x:c r="K179" s="13" t="str">
        <x:v>Planejada</x:v>
      </x:c>
      <x:c r="L179" s="13" t="s">
        <x:v>38</x:v>
      </x:c>
      <x:c r="M179" s="13" t="str">
        <x:v>Planejada</x:v>
      </x:c>
      <x:c r="N179" s="14" t="str">
        <x:v>Não se aplica</x:v>
      </x:c>
      <x:c r="O179" s="53" t="str">
        <x:v>Não se aplica</x:v>
      </x:c>
      <x:c r="P179" s="51"/>
    </x:row>
    <x:row r="180" ht="64.5" hidden="0" customHeight="1">
      <x:c r="B180" s="16" t="s">
        <x:v>418</x:v>
      </x:c>
      <x:c r="C180" s="17" t="n">
        <x:v>46578.5</x:v>
      </x:c>
      <x:c r="D180" s="18" t="s">
        <x:v>40</x:v>
      </x:c>
      <x:c r="E180" s="19" t="n">
        <x:v>0.416666666666667</x:v>
      </x:c>
      <x:c r="F180" s="18" t="s">
        <x:v>20</x:v>
      </x:c>
      <x:c r="G180" s="20" t="s">
        <x:v>419</x:v>
      </x:c>
      <x:c r="H180" s="20" t="s">
        <x:v>105</x:v>
      </x:c>
      <x:c r="I180" s="20" t="s">
        <x:v>106</x:v>
      </x:c>
      <x:c r="J180" s="20" t="str">
        <x:v>Planejada</x:v>
      </x:c>
      <x:c r="K180" s="20" t="str">
        <x:v>Planejada</x:v>
      </x:c>
      <x:c r="L180" s="20" t="s">
        <x:v>24</x:v>
      </x:c>
      <x:c r="M180" s="20" t="str">
        <x:v>Planejada</x:v>
      </x:c>
      <x:c r="N180" s="21" t="str">
        <x:v>Não se aplica</x:v>
      </x:c>
      <x:c r="O180" s="55" t="str">
        <x:v>Não se aplica</x:v>
      </x:c>
      <x:c r="P180" s="51"/>
    </x:row>
    <x:row r="181" ht="64.5" hidden="0" customHeight="1">
      <x:c r="B181" s="22" t="s">
        <x:v>420</x:v>
      </x:c>
      <x:c r="C181" s="23" t="n">
        <x:v>46580.5</x:v>
      </x:c>
      <x:c r="D181" s="24" t="s">
        <x:v>19</x:v>
      </x:c>
      <x:c r="E181" s="25" t="n">
        <x:v>0.5</x:v>
      </x:c>
      <x:c r="F181" s="24" t="s">
        <x:v>34</x:v>
      </x:c>
      <x:c r="G181" s="26" t="s">
        <x:v>421</x:v>
      </x:c>
      <x:c r="H181" s="26" t="s">
        <x:v>94</x:v>
      </x:c>
      <x:c r="I181" s="26" t="s">
        <x:v>128</x:v>
      </x:c>
      <x:c r="J181" s="26" t="str">
        <x:v>Planejada</x:v>
      </x:c>
      <x:c r="K181" s="26" t="str">
        <x:v>Planejada</x:v>
      </x:c>
      <x:c r="L181" s="26" t="s">
        <x:v>38</x:v>
      </x:c>
      <x:c r="M181" s="26" t="str">
        <x:v>Planejada</x:v>
      </x:c>
      <x:c r="N181" s="27" t="str">
        <x:v>Não se aplica</x:v>
      </x:c>
      <x:c r="O181" s="54" t="str">
        <x:v>Não se aplica</x:v>
      </x:c>
      <x:c r="P181" s="51"/>
    </x:row>
    <x:row r="182" ht="64.5" hidden="0" customHeight="1">
      <x:c r="B182" s="16" t="s">
        <x:v>422</x:v>
      </x:c>
      <x:c r="C182" s="17" t="n">
        <x:v>46582.5</x:v>
      </x:c>
      <x:c r="D182" s="18" t="s">
        <x:v>26</x:v>
      </x:c>
      <x:c r="E182" s="19" t="n">
        <x:v>0.770833333333333</x:v>
      </x:c>
      <x:c r="F182" s="18" t="s">
        <x:v>27</x:v>
      </x:c>
      <x:c r="G182" s="20" t="s">
        <x:v>423</x:v>
      </x:c>
      <x:c r="H182" s="20" t="s">
        <x:v>98</x:v>
      </x:c>
      <x:c r="I182" s="20" t="s">
        <x:v>424</x:v>
      </x:c>
      <x:c r="J182" s="20" t="str">
        <x:v>Planejada</x:v>
      </x:c>
      <x:c r="K182" s="20" t="str">
        <x:v>Planejada</x:v>
      </x:c>
      <x:c r="L182" s="20" t="s">
        <x:v>31</x:v>
      </x:c>
      <x:c r="M182" s="20" t="str">
        <x:v>Planejada</x:v>
      </x:c>
      <x:c r="N182" s="20" t="str">
        <x:v>Planejada</x:v>
      </x:c>
      <x:c r="O182" s="55" t="str">
        <x:v>Planejada</x:v>
      </x:c>
      <x:c r="P182" s="51"/>
    </x:row>
    <x:row r="183" ht="64.5" hidden="0" customHeight="1">
      <x:c r="B183" s="9" t="s">
        <x:v>425</x:v>
      </x:c>
      <x:c r="C183" s="10" t="n">
        <x:v>46584.5</x:v>
      </x:c>
      <x:c r="D183" s="11" t="s">
        <x:v>33</x:v>
      </x:c>
      <x:c r="E183" s="12" t="n">
        <x:v>0.5</x:v>
      </x:c>
      <x:c r="F183" s="11" t="s">
        <x:v>34</x:v>
      </x:c>
      <x:c r="G183" s="13" t="s">
        <x:v>426</x:v>
      </x:c>
      <x:c r="H183" s="13" t="s">
        <x:v>102</x:v>
      </x:c>
      <x:c r="I183" s="13" t="s">
        <x:v>133</x:v>
      </x:c>
      <x:c r="J183" s="13" t="str">
        <x:v>Planejada</x:v>
      </x:c>
      <x:c r="K183" s="13" t="str">
        <x:v>Planejada</x:v>
      </x:c>
      <x:c r="L183" s="13" t="s">
        <x:v>38</x:v>
      </x:c>
      <x:c r="M183" s="13" t="str">
        <x:v>Planejada</x:v>
      </x:c>
      <x:c r="N183" s="14" t="str">
        <x:v>Não se aplica</x:v>
      </x:c>
      <x:c r="O183" s="53" t="str">
        <x:v>Não se aplica</x:v>
      </x:c>
      <x:c r="P183" s="51"/>
    </x:row>
    <x:row r="184" ht="64.5" hidden="0" customHeight="1">
      <x:c r="B184" s="16" t="s">
        <x:v>427</x:v>
      </x:c>
      <x:c r="C184" s="17" t="n">
        <x:v>46585.5</x:v>
      </x:c>
      <x:c r="D184" s="18" t="s">
        <x:v>40</x:v>
      </x:c>
      <x:c r="E184" s="19" t="n">
        <x:v>0.416666666666667</x:v>
      </x:c>
      <x:c r="F184" s="18" t="s">
        <x:v>20</x:v>
      </x:c>
      <x:c r="G184" s="20" t="s">
        <x:v>428</x:v>
      </x:c>
      <x:c r="H184" s="20" t="s">
        <x:v>136</x:v>
      </x:c>
      <x:c r="I184" s="20" t="s">
        <x:v>424</x:v>
      </x:c>
      <x:c r="J184" s="20" t="str">
        <x:v>Planejada</x:v>
      </x:c>
      <x:c r="K184" s="20" t="str">
        <x:v>Planejada</x:v>
      </x:c>
      <x:c r="L184" s="20" t="s">
        <x:v>24</x:v>
      </x:c>
      <x:c r="M184" s="20" t="str">
        <x:v>Planejada</x:v>
      </x:c>
      <x:c r="N184" s="21" t="str">
        <x:v>Não se aplica</x:v>
      </x:c>
      <x:c r="O184" s="55" t="str">
        <x:v>Não se aplica</x:v>
      </x:c>
      <x:c r="P184" s="51"/>
    </x:row>
    <x:row r="185" ht="64.5" hidden="0" customHeight="1">
      <x:c r="B185" s="22" t="s">
        <x:v>429</x:v>
      </x:c>
      <x:c r="C185" s="23" t="n">
        <x:v>46587.5</x:v>
      </x:c>
      <x:c r="D185" s="24" t="s">
        <x:v>19</x:v>
      </x:c>
      <x:c r="E185" s="25" t="n">
        <x:v>0.5</x:v>
      </x:c>
      <x:c r="F185" s="24" t="s">
        <x:v>34</x:v>
      </x:c>
      <x:c r="G185" s="26" t="s">
        <x:v>430</x:v>
      </x:c>
      <x:c r="H185" s="26" t="s">
        <x:v>94</x:v>
      </x:c>
      <x:c r="I185" s="26" t="s">
        <x:v>95</x:v>
      </x:c>
      <x:c r="J185" s="26" t="str">
        <x:v>Planejada</x:v>
      </x:c>
      <x:c r="K185" s="26" t="str">
        <x:v>Planejada</x:v>
      </x:c>
      <x:c r="L185" s="26" t="s">
        <x:v>38</x:v>
      </x:c>
      <x:c r="M185" s="26" t="str">
        <x:v>Planejada</x:v>
      </x:c>
      <x:c r="N185" s="27" t="str">
        <x:v>Não se aplica</x:v>
      </x:c>
      <x:c r="O185" s="54" t="str">
        <x:v>Não se aplica</x:v>
      </x:c>
      <x:c r="P185" s="51"/>
    </x:row>
    <x:row r="186" ht="64.5" hidden="0" customHeight="1">
      <x:c r="B186" s="16" t="s">
        <x:v>431</x:v>
      </x:c>
      <x:c r="C186" s="17" t="n">
        <x:v>46589.5</x:v>
      </x:c>
      <x:c r="D186" s="18" t="s">
        <x:v>26</x:v>
      </x:c>
      <x:c r="E186" s="19" t="n">
        <x:v>0.770833333333333</x:v>
      </x:c>
      <x:c r="F186" s="18" t="s">
        <x:v>27</x:v>
      </x:c>
      <x:c r="G186" s="20" t="s">
        <x:v>432</x:v>
      </x:c>
      <x:c r="H186" s="20" t="s">
        <x:v>98</x:v>
      </x:c>
      <x:c r="I186" s="20" t="s">
        <x:v>99</x:v>
      </x:c>
      <x:c r="J186" s="20" t="str">
        <x:v>Planejada</x:v>
      </x:c>
      <x:c r="K186" s="20" t="str">
        <x:v>Planejada</x:v>
      </x:c>
      <x:c r="L186" s="20" t="s">
        <x:v>31</x:v>
      </x:c>
      <x:c r="M186" s="20" t="str">
        <x:v>Planejada</x:v>
      </x:c>
      <x:c r="N186" s="20" t="str">
        <x:v>Planejada</x:v>
      </x:c>
      <x:c r="O186" s="55" t="str">
        <x:v>Planejada</x:v>
      </x:c>
      <x:c r="P186" s="51"/>
    </x:row>
    <x:row r="187" ht="64.5" hidden="0" customHeight="1">
      <x:c r="B187" s="9" t="s">
        <x:v>433</x:v>
      </x:c>
      <x:c r="C187" s="10" t="n">
        <x:v>46591.5</x:v>
      </x:c>
      <x:c r="D187" s="11" t="s">
        <x:v>33</x:v>
      </x:c>
      <x:c r="E187" s="12" t="n">
        <x:v>0.5</x:v>
      </x:c>
      <x:c r="F187" s="11" t="s">
        <x:v>34</x:v>
      </x:c>
      <x:c r="G187" s="13" t="s">
        <x:v>434</x:v>
      </x:c>
      <x:c r="H187" s="13" t="s">
        <x:v>102</x:v>
      </x:c>
      <x:c r="I187" s="13" t="s">
        <x:v>37</x:v>
      </x:c>
      <x:c r="J187" s="13" t="str">
        <x:v>Planejada</x:v>
      </x:c>
      <x:c r="K187" s="13" t="str">
        <x:v>Planejada</x:v>
      </x:c>
      <x:c r="L187" s="13" t="s">
        <x:v>38</x:v>
      </x:c>
      <x:c r="M187" s="13" t="str">
        <x:v>Planejada</x:v>
      </x:c>
      <x:c r="N187" s="14" t="str">
        <x:v>Não se aplica</x:v>
      </x:c>
      <x:c r="O187" s="53" t="str">
        <x:v>Não se aplica</x:v>
      </x:c>
      <x:c r="P187" s="51"/>
    </x:row>
    <x:row r="188" ht="64.5" hidden="0" customHeight="1">
      <x:c r="B188" s="16" t="s">
        <x:v>435</x:v>
      </x:c>
      <x:c r="C188" s="17" t="n">
        <x:v>46592.5</x:v>
      </x:c>
      <x:c r="D188" s="18" t="s">
        <x:v>40</x:v>
      </x:c>
      <x:c r="E188" s="19" t="n">
        <x:v>0.416666666666667</x:v>
      </x:c>
      <x:c r="F188" s="18" t="s">
        <x:v>20</x:v>
      </x:c>
      <x:c r="G188" s="20" t="s">
        <x:v>436</x:v>
      </x:c>
      <x:c r="H188" s="20" t="s">
        <x:v>105</x:v>
      </x:c>
      <x:c r="I188" s="20" t="s">
        <x:v>106</x:v>
      </x:c>
      <x:c r="J188" s="20" t="str">
        <x:v>Planejada</x:v>
      </x:c>
      <x:c r="K188" s="20" t="str">
        <x:v>Planejada</x:v>
      </x:c>
      <x:c r="L188" s="20" t="s">
        <x:v>24</x:v>
      </x:c>
      <x:c r="M188" s="20" t="str">
        <x:v>Planejada</x:v>
      </x:c>
      <x:c r="N188" s="21" t="str">
        <x:v>Não se aplica</x:v>
      </x:c>
      <x:c r="O188" s="55" t="str">
        <x:v>Não se aplica</x:v>
      </x:c>
      <x:c r="P188" s="51"/>
    </x:row>
    <x:row r="189" ht="64.5" hidden="0" customHeight="1">
      <x:c r="B189" s="22" t="s">
        <x:v>437</x:v>
      </x:c>
      <x:c r="C189" s="23" t="n">
        <x:v>46594.5</x:v>
      </x:c>
      <x:c r="D189" s="24" t="s">
        <x:v>19</x:v>
      </x:c>
      <x:c r="E189" s="25" t="n">
        <x:v>0.5</x:v>
      </x:c>
      <x:c r="F189" s="24" t="s">
        <x:v>34</x:v>
      </x:c>
      <x:c r="G189" s="26" t="s">
        <x:v>438</x:v>
      </x:c>
      <x:c r="H189" s="26" t="s">
        <x:v>94</x:v>
      </x:c>
      <x:c r="I189" s="26" t="s">
        <x:v>109</x:v>
      </x:c>
      <x:c r="J189" s="26" t="str">
        <x:v>Planejada</x:v>
      </x:c>
      <x:c r="K189" s="26" t="str">
        <x:v>Planejada</x:v>
      </x:c>
      <x:c r="L189" s="26" t="s">
        <x:v>38</x:v>
      </x:c>
      <x:c r="M189" s="26" t="str">
        <x:v>Planejada</x:v>
      </x:c>
      <x:c r="N189" s="27" t="str">
        <x:v>Não se aplica</x:v>
      </x:c>
      <x:c r="O189" s="54" t="str">
        <x:v>Não se aplica</x:v>
      </x:c>
      <x:c r="P189" s="51"/>
    </x:row>
    <x:row r="190" ht="64.5" hidden="0" customHeight="1">
      <x:c r="B190" s="16" t="s">
        <x:v>439</x:v>
      </x:c>
      <x:c r="C190" s="17" t="n">
        <x:v>46596.5</x:v>
      </x:c>
      <x:c r="D190" s="18" t="s">
        <x:v>26</x:v>
      </x:c>
      <x:c r="E190" s="19" t="n">
        <x:v>0.770833333333333</x:v>
      </x:c>
      <x:c r="F190" s="18" t="s">
        <x:v>27</x:v>
      </x:c>
      <x:c r="G190" s="20" t="s">
        <x:v>440</x:v>
      </x:c>
      <x:c r="H190" s="20" t="s">
        <x:v>98</x:v>
      </x:c>
      <x:c r="I190" s="20" t="s">
        <x:v>112</x:v>
      </x:c>
      <x:c r="J190" s="20" t="str">
        <x:v>Planejada</x:v>
      </x:c>
      <x:c r="K190" s="20" t="str">
        <x:v>Planejada</x:v>
      </x:c>
      <x:c r="L190" s="20" t="s">
        <x:v>31</x:v>
      </x:c>
      <x:c r="M190" s="20" t="str">
        <x:v>Planejada</x:v>
      </x:c>
      <x:c r="N190" s="20" t="str">
        <x:v>Planejada</x:v>
      </x:c>
      <x:c r="O190" s="55" t="str">
        <x:v>Planejada</x:v>
      </x:c>
      <x:c r="P190" s="51"/>
    </x:row>
    <x:row r="191" ht="64.5" hidden="0" customHeight="1">
      <x:c r="B191" s="9" t="s">
        <x:v>441</x:v>
      </x:c>
      <x:c r="C191" s="10" t="n">
        <x:v>46598.5</x:v>
      </x:c>
      <x:c r="D191" s="11" t="s">
        <x:v>33</x:v>
      </x:c>
      <x:c r="E191" s="12" t="n">
        <x:v>0.5</x:v>
      </x:c>
      <x:c r="F191" s="11" t="s">
        <x:v>34</x:v>
      </x:c>
      <x:c r="G191" s="13" t="s">
        <x:v>442</x:v>
      </x:c>
      <x:c r="H191" s="13" t="s">
        <x:v>102</x:v>
      </x:c>
      <x:c r="I191" s="13" t="s">
        <x:v>115</x:v>
      </x:c>
      <x:c r="J191" s="13" t="str">
        <x:v>Planejada</x:v>
      </x:c>
      <x:c r="K191" s="13" t="str">
        <x:v>Planejada</x:v>
      </x:c>
      <x:c r="L191" s="13" t="s">
        <x:v>38</x:v>
      </x:c>
      <x:c r="M191" s="13" t="str">
        <x:v>Planejada</x:v>
      </x:c>
      <x:c r="N191" s="14" t="str">
        <x:v>Não se aplica</x:v>
      </x:c>
      <x:c r="O191" s="53" t="str">
        <x:v>Não se aplica</x:v>
      </x:c>
      <x:c r="P191" s="51"/>
    </x:row>
    <x:row r="192" ht="64.5" hidden="0" customHeight="1">
      <x:c r="B192" s="16" t="s">
        <x:v>443</x:v>
      </x:c>
      <x:c r="C192" s="17" t="n">
        <x:v>46599.5</x:v>
      </x:c>
      <x:c r="D192" s="18" t="s">
        <x:v>40</x:v>
      </x:c>
      <x:c r="E192" s="19" t="n">
        <x:v>0.416666666666667</x:v>
      </x:c>
      <x:c r="F192" s="18" t="s">
        <x:v>20</x:v>
      </x:c>
      <x:c r="G192" s="20" t="s">
        <x:v>444</x:v>
      </x:c>
      <x:c r="H192" s="20" t="s">
        <x:v>105</x:v>
      </x:c>
      <x:c r="I192" s="20" t="s">
        <x:v>106</x:v>
      </x:c>
      <x:c r="J192" s="20" t="str">
        <x:v>Planejada</x:v>
      </x:c>
      <x:c r="K192" s="20" t="str">
        <x:v>Planejada</x:v>
      </x:c>
      <x:c r="L192" s="20" t="s">
        <x:v>24</x:v>
      </x:c>
      <x:c r="M192" s="20" t="str">
        <x:v>Planejada</x:v>
      </x:c>
      <x:c r="N192" s="21" t="str">
        <x:v>Não se aplica</x:v>
      </x:c>
      <x:c r="O192" s="55" t="str">
        <x:v>Não se aplica</x:v>
      </x:c>
      <x:c r="P192" s="51"/>
    </x:row>
    <x:row r="193" ht="64.5" hidden="0" customHeight="1">
      <x:c r="B193" s="22" t="s">
        <x:v>445</x:v>
      </x:c>
      <x:c r="C193" s="23" t="n">
        <x:v>46601.5</x:v>
      </x:c>
      <x:c r="D193" s="24" t="s">
        <x:v>19</x:v>
      </x:c>
      <x:c r="E193" s="25" t="n">
        <x:v>0.5</x:v>
      </x:c>
      <x:c r="F193" s="24" t="s">
        <x:v>34</x:v>
      </x:c>
      <x:c r="G193" s="26" t="s">
        <x:v>446</x:v>
      </x:c>
      <x:c r="H193" s="26" t="s">
        <x:v>94</x:v>
      </x:c>
      <x:c r="I193" s="26" t="s">
        <x:v>59</x:v>
      </x:c>
      <x:c r="J193" s="26" t="str">
        <x:v>Planejada</x:v>
      </x:c>
      <x:c r="K193" s="26" t="str">
        <x:v>Planejada</x:v>
      </x:c>
      <x:c r="L193" s="26" t="s">
        <x:v>38</x:v>
      </x:c>
      <x:c r="M193" s="26" t="str">
        <x:v>Planejada</x:v>
      </x:c>
      <x:c r="N193" s="27" t="str">
        <x:v>Não se aplica</x:v>
      </x:c>
      <x:c r="O193" s="54" t="str">
        <x:v>Não se aplica</x:v>
      </x:c>
      <x:c r="P193" s="51"/>
    </x:row>
    <x:row r="194" ht="64.5" hidden="0" customHeight="1">
      <x:c r="B194" s="16" t="s">
        <x:v>447</x:v>
      </x:c>
      <x:c r="C194" s="17" t="n">
        <x:v>46603.5</x:v>
      </x:c>
      <x:c r="D194" s="18" t="s">
        <x:v>26</x:v>
      </x:c>
      <x:c r="E194" s="19" t="n">
        <x:v>0.770833333333333</x:v>
      </x:c>
      <x:c r="F194" s="18" t="s">
        <x:v>27</x:v>
      </x:c>
      <x:c r="G194" s="20" t="s">
        <x:v>448</x:v>
      </x:c>
      <x:c r="H194" s="20" t="s">
        <x:v>98</x:v>
      </x:c>
      <x:c r="I194" s="20" t="s">
        <x:v>59</x:v>
      </x:c>
      <x:c r="J194" s="20" t="str">
        <x:v>Planejada</x:v>
      </x:c>
      <x:c r="K194" s="20" t="str">
        <x:v>Planejada</x:v>
      </x:c>
      <x:c r="L194" s="20" t="s">
        <x:v>31</x:v>
      </x:c>
      <x:c r="M194" s="20" t="str">
        <x:v>Planejada</x:v>
      </x:c>
      <x:c r="N194" s="20" t="str">
        <x:v>Planejada</x:v>
      </x:c>
      <x:c r="O194" s="55" t="str">
        <x:v>Planejada</x:v>
      </x:c>
      <x:c r="P194" s="51"/>
    </x:row>
    <x:row r="195" ht="64.5" hidden="0" customHeight="1">
      <x:c r="B195" s="9" t="s">
        <x:v>449</x:v>
      </x:c>
      <x:c r="C195" s="10" t="n">
        <x:v>46605.5</x:v>
      </x:c>
      <x:c r="D195" s="11" t="s">
        <x:v>33</x:v>
      </x:c>
      <x:c r="E195" s="12" t="n">
        <x:v>0.5</x:v>
      </x:c>
      <x:c r="F195" s="11" t="s">
        <x:v>34</x:v>
      </x:c>
      <x:c r="G195" s="13" t="s">
        <x:v>450</x:v>
      </x:c>
      <x:c r="H195" s="13" t="s">
        <x:v>102</x:v>
      </x:c>
      <x:c r="I195" s="13" t="s">
        <x:v>47</x:v>
      </x:c>
      <x:c r="J195" s="13" t="str">
        <x:v>Planejada</x:v>
      </x:c>
      <x:c r="K195" s="13" t="str">
        <x:v>Planejada</x:v>
      </x:c>
      <x:c r="L195" s="13" t="s">
        <x:v>38</x:v>
      </x:c>
      <x:c r="M195" s="13" t="str">
        <x:v>Planejada</x:v>
      </x:c>
      <x:c r="N195" s="14" t="str">
        <x:v>Não se aplica</x:v>
      </x:c>
      <x:c r="O195" s="53" t="str">
        <x:v>Não se aplica</x:v>
      </x:c>
      <x:c r="P195" s="51"/>
    </x:row>
    <x:row r="196" ht="64.5" hidden="0" customHeight="1">
      <x:c r="B196" s="16" t="s">
        <x:v>451</x:v>
      </x:c>
      <x:c r="C196" s="17" t="n">
        <x:v>46606.5</x:v>
      </x:c>
      <x:c r="D196" s="18" t="s">
        <x:v>40</x:v>
      </x:c>
      <x:c r="E196" s="19" t="n">
        <x:v>0.416666666666667</x:v>
      </x:c>
      <x:c r="F196" s="18" t="s">
        <x:v>20</x:v>
      </x:c>
      <x:c r="G196" s="20" t="s">
        <x:v>452</x:v>
      </x:c>
      <x:c r="H196" s="20" t="s">
        <x:v>105</x:v>
      </x:c>
      <x:c r="I196" s="20" t="s">
        <x:v>106</x:v>
      </x:c>
      <x:c r="J196" s="20" t="str">
        <x:v>Planejada</x:v>
      </x:c>
      <x:c r="K196" s="20" t="str">
        <x:v>Planejada</x:v>
      </x:c>
      <x:c r="L196" s="20" t="s">
        <x:v>24</x:v>
      </x:c>
      <x:c r="M196" s="20" t="str">
        <x:v>Planejada</x:v>
      </x:c>
      <x:c r="N196" s="21" t="str">
        <x:v>Não se aplica</x:v>
      </x:c>
      <x:c r="O196" s="55" t="str">
        <x:v>Não se aplica</x:v>
      </x:c>
      <x:c r="P196" s="51"/>
    </x:row>
    <x:row r="197" ht="64.5" hidden="0" customHeight="1">
      <x:c r="B197" s="22" t="s">
        <x:v>453</x:v>
      </x:c>
      <x:c r="C197" s="23" t="n">
        <x:v>46608.5</x:v>
      </x:c>
      <x:c r="D197" s="24" t="s">
        <x:v>19</x:v>
      </x:c>
      <x:c r="E197" s="25" t="n">
        <x:v>0.5</x:v>
      </x:c>
      <x:c r="F197" s="24" t="s">
        <x:v>34</x:v>
      </x:c>
      <x:c r="G197" s="26" t="s">
        <x:v>454</x:v>
      </x:c>
      <x:c r="H197" s="26" t="s">
        <x:v>94</x:v>
      </x:c>
      <x:c r="I197" s="26" t="s">
        <x:v>128</x:v>
      </x:c>
      <x:c r="J197" s="26" t="str">
        <x:v>Planejada</x:v>
      </x:c>
      <x:c r="K197" s="26" t="str">
        <x:v>Planejada</x:v>
      </x:c>
      <x:c r="L197" s="26" t="s">
        <x:v>38</x:v>
      </x:c>
      <x:c r="M197" s="26" t="str">
        <x:v>Planejada</x:v>
      </x:c>
      <x:c r="N197" s="27" t="str">
        <x:v>Não se aplica</x:v>
      </x:c>
      <x:c r="O197" s="54" t="str">
        <x:v>Não se aplica</x:v>
      </x:c>
      <x:c r="P197" s="51"/>
    </x:row>
    <x:row r="198" ht="64.5" hidden="0" customHeight="1">
      <x:c r="B198" s="16" t="s">
        <x:v>455</x:v>
      </x:c>
      <x:c r="C198" s="17" t="n">
        <x:v>46610.5</x:v>
      </x:c>
      <x:c r="D198" s="18" t="s">
        <x:v>26</x:v>
      </x:c>
      <x:c r="E198" s="19" t="n">
        <x:v>0.770833333333333</x:v>
      </x:c>
      <x:c r="F198" s="18" t="s">
        <x:v>27</x:v>
      </x:c>
      <x:c r="G198" s="20" t="s">
        <x:v>456</x:v>
      </x:c>
      <x:c r="H198" s="20" t="s">
        <x:v>98</x:v>
      </x:c>
      <x:c r="I198" s="20" t="s">
        <x:v>457</x:v>
      </x:c>
      <x:c r="J198" s="20" t="str">
        <x:v>Planejada</x:v>
      </x:c>
      <x:c r="K198" s="20" t="str">
        <x:v>Planejada</x:v>
      </x:c>
      <x:c r="L198" s="20" t="s">
        <x:v>31</x:v>
      </x:c>
      <x:c r="M198" s="20" t="str">
        <x:v>Planejada</x:v>
      </x:c>
      <x:c r="N198" s="20" t="str">
        <x:v>Planejada</x:v>
      </x:c>
      <x:c r="O198" s="55" t="str">
        <x:v>Planejada</x:v>
      </x:c>
      <x:c r="P198" s="51"/>
    </x:row>
    <x:row r="199" ht="64.5" hidden="0" customHeight="1">
      <x:c r="B199" s="9" t="s">
        <x:v>458</x:v>
      </x:c>
      <x:c r="C199" s="10" t="n">
        <x:v>46612.5</x:v>
      </x:c>
      <x:c r="D199" s="11" t="s">
        <x:v>33</x:v>
      </x:c>
      <x:c r="E199" s="12" t="n">
        <x:v>0.5</x:v>
      </x:c>
      <x:c r="F199" s="11" t="s">
        <x:v>34</x:v>
      </x:c>
      <x:c r="G199" s="13" t="s">
        <x:v>459</x:v>
      </x:c>
      <x:c r="H199" s="13" t="s">
        <x:v>102</x:v>
      </x:c>
      <x:c r="I199" s="13" t="s">
        <x:v>133</x:v>
      </x:c>
      <x:c r="J199" s="13" t="str">
        <x:v>Planejada</x:v>
      </x:c>
      <x:c r="K199" s="13" t="str">
        <x:v>Planejada</x:v>
      </x:c>
      <x:c r="L199" s="13" t="s">
        <x:v>38</x:v>
      </x:c>
      <x:c r="M199" s="13" t="str">
        <x:v>Planejada</x:v>
      </x:c>
      <x:c r="N199" s="14" t="str">
        <x:v>Não se aplica</x:v>
      </x:c>
      <x:c r="O199" s="53" t="str">
        <x:v>Não se aplica</x:v>
      </x:c>
      <x:c r="P199" s="51"/>
    </x:row>
    <x:row r="200" ht="64.5" hidden="0" customHeight="1">
      <x:c r="B200" s="16" t="s">
        <x:v>460</x:v>
      </x:c>
      <x:c r="C200" s="17" t="n">
        <x:v>46613.5</x:v>
      </x:c>
      <x:c r="D200" s="18" t="s">
        <x:v>40</x:v>
      </x:c>
      <x:c r="E200" s="19" t="n">
        <x:v>0.416666666666667</x:v>
      </x:c>
      <x:c r="F200" s="18" t="s">
        <x:v>20</x:v>
      </x:c>
      <x:c r="G200" s="20" t="s">
        <x:v>461</x:v>
      </x:c>
      <x:c r="H200" s="20" t="s">
        <x:v>136</x:v>
      </x:c>
      <x:c r="I200" s="20" t="s">
        <x:v>457</x:v>
      </x:c>
      <x:c r="J200" s="20" t="str">
        <x:v>Planejada</x:v>
      </x:c>
      <x:c r="K200" s="20" t="str">
        <x:v>Planejada</x:v>
      </x:c>
      <x:c r="L200" s="20" t="s">
        <x:v>24</x:v>
      </x:c>
      <x:c r="M200" s="20" t="str">
        <x:v>Planejada</x:v>
      </x:c>
      <x:c r="N200" s="21" t="str">
        <x:v>Não se aplica</x:v>
      </x:c>
      <x:c r="O200" s="55" t="str">
        <x:v>Não se aplica</x:v>
      </x:c>
      <x:c r="P200" s="51"/>
    </x:row>
    <x:row r="201" ht="64.5" hidden="0" customHeight="1">
      <x:c r="B201" s="22" t="s">
        <x:v>462</x:v>
      </x:c>
      <x:c r="C201" s="23" t="n">
        <x:v>46615.5</x:v>
      </x:c>
      <x:c r="D201" s="24" t="s">
        <x:v>19</x:v>
      </x:c>
      <x:c r="E201" s="25" t="n">
        <x:v>0.5</x:v>
      </x:c>
      <x:c r="F201" s="24" t="s">
        <x:v>34</x:v>
      </x:c>
      <x:c r="G201" s="26" t="s">
        <x:v>463</x:v>
      </x:c>
      <x:c r="H201" s="26" t="s">
        <x:v>94</x:v>
      </x:c>
      <x:c r="I201" s="26" t="s">
        <x:v>95</x:v>
      </x:c>
      <x:c r="J201" s="26" t="str">
        <x:v>Planejada</x:v>
      </x:c>
      <x:c r="K201" s="26" t="str">
        <x:v>Planejada</x:v>
      </x:c>
      <x:c r="L201" s="26" t="s">
        <x:v>38</x:v>
      </x:c>
      <x:c r="M201" s="26" t="str">
        <x:v>Planejada</x:v>
      </x:c>
      <x:c r="N201" s="27" t="str">
        <x:v>Não se aplica</x:v>
      </x:c>
      <x:c r="O201" s="54" t="str">
        <x:v>Não se aplica</x:v>
      </x:c>
      <x:c r="P201" s="51"/>
    </x:row>
    <x:row r="202" ht="64.5" hidden="0" customHeight="1">
      <x:c r="B202" s="16" t="s">
        <x:v>464</x:v>
      </x:c>
      <x:c r="C202" s="17" t="n">
        <x:v>46617.5</x:v>
      </x:c>
      <x:c r="D202" s="18" t="s">
        <x:v>26</x:v>
      </x:c>
      <x:c r="E202" s="19" t="n">
        <x:v>0.770833333333333</x:v>
      </x:c>
      <x:c r="F202" s="18" t="s">
        <x:v>27</x:v>
      </x:c>
      <x:c r="G202" s="20" t="s">
        <x:v>465</x:v>
      </x:c>
      <x:c r="H202" s="20" t="s">
        <x:v>98</x:v>
      </x:c>
      <x:c r="I202" s="20" t="s">
        <x:v>99</x:v>
      </x:c>
      <x:c r="J202" s="20" t="str">
        <x:v>Planejada</x:v>
      </x:c>
      <x:c r="K202" s="20" t="str">
        <x:v>Planejada</x:v>
      </x:c>
      <x:c r="L202" s="20" t="s">
        <x:v>31</x:v>
      </x:c>
      <x:c r="M202" s="20" t="str">
        <x:v>Planejada</x:v>
      </x:c>
      <x:c r="N202" s="20" t="str">
        <x:v>Planejada</x:v>
      </x:c>
      <x:c r="O202" s="55" t="str">
        <x:v>Planejada</x:v>
      </x:c>
      <x:c r="P202" s="51"/>
    </x:row>
    <x:row r="203" ht="64.5" hidden="0" customHeight="1">
      <x:c r="B203" s="9" t="s">
        <x:v>466</x:v>
      </x:c>
      <x:c r="C203" s="10" t="n">
        <x:v>46619.5</x:v>
      </x:c>
      <x:c r="D203" s="11" t="s">
        <x:v>33</x:v>
      </x:c>
      <x:c r="E203" s="12" t="n">
        <x:v>0.5</x:v>
      </x:c>
      <x:c r="F203" s="11" t="s">
        <x:v>34</x:v>
      </x:c>
      <x:c r="G203" s="13" t="s">
        <x:v>467</x:v>
      </x:c>
      <x:c r="H203" s="13" t="s">
        <x:v>102</x:v>
      </x:c>
      <x:c r="I203" s="13" t="s">
        <x:v>37</x:v>
      </x:c>
      <x:c r="J203" s="13" t="str">
        <x:v>Planejada</x:v>
      </x:c>
      <x:c r="K203" s="13" t="str">
        <x:v>Planejada</x:v>
      </x:c>
      <x:c r="L203" s="13" t="s">
        <x:v>38</x:v>
      </x:c>
      <x:c r="M203" s="13" t="str">
        <x:v>Planejada</x:v>
      </x:c>
      <x:c r="N203" s="14" t="str">
        <x:v>Não se aplica</x:v>
      </x:c>
      <x:c r="O203" s="53" t="str">
        <x:v>Não se aplica</x:v>
      </x:c>
      <x:c r="P203" s="51"/>
    </x:row>
    <x:row r="204" ht="64.5" hidden="0" customHeight="1">
      <x:c r="B204" s="16" t="s">
        <x:v>468</x:v>
      </x:c>
      <x:c r="C204" s="17" t="n">
        <x:v>46620.5</x:v>
      </x:c>
      <x:c r="D204" s="18" t="s">
        <x:v>40</x:v>
      </x:c>
      <x:c r="E204" s="19" t="n">
        <x:v>0.416666666666667</x:v>
      </x:c>
      <x:c r="F204" s="18" t="s">
        <x:v>20</x:v>
      </x:c>
      <x:c r="G204" s="20" t="s">
        <x:v>469</x:v>
      </x:c>
      <x:c r="H204" s="20" t="s">
        <x:v>105</x:v>
      </x:c>
      <x:c r="I204" s="20" t="s">
        <x:v>106</x:v>
      </x:c>
      <x:c r="J204" s="20" t="str">
        <x:v>Planejada</x:v>
      </x:c>
      <x:c r="K204" s="20" t="str">
        <x:v>Planejada</x:v>
      </x:c>
      <x:c r="L204" s="20" t="s">
        <x:v>24</x:v>
      </x:c>
      <x:c r="M204" s="20" t="str">
        <x:v>Planejada</x:v>
      </x:c>
      <x:c r="N204" s="21" t="str">
        <x:v>Não se aplica</x:v>
      </x:c>
      <x:c r="O204" s="55" t="str">
        <x:v>Não se aplica</x:v>
      </x:c>
      <x:c r="P204" s="51"/>
    </x:row>
    <x:row r="205" ht="64.5" hidden="0" customHeight="1">
      <x:c r="B205" s="22" t="s">
        <x:v>470</x:v>
      </x:c>
      <x:c r="C205" s="23" t="n">
        <x:v>46622.5</x:v>
      </x:c>
      <x:c r="D205" s="24" t="s">
        <x:v>19</x:v>
      </x:c>
      <x:c r="E205" s="25" t="n">
        <x:v>0.5</x:v>
      </x:c>
      <x:c r="F205" s="24" t="s">
        <x:v>34</x:v>
      </x:c>
      <x:c r="G205" s="26" t="s">
        <x:v>471</x:v>
      </x:c>
      <x:c r="H205" s="26" t="s">
        <x:v>94</x:v>
      </x:c>
      <x:c r="I205" s="26" t="s">
        <x:v>109</x:v>
      </x:c>
      <x:c r="J205" s="26" t="str">
        <x:v>Planejada</x:v>
      </x:c>
      <x:c r="K205" s="26" t="str">
        <x:v>Planejada</x:v>
      </x:c>
      <x:c r="L205" s="26" t="s">
        <x:v>38</x:v>
      </x:c>
      <x:c r="M205" s="26" t="str">
        <x:v>Planejada</x:v>
      </x:c>
      <x:c r="N205" s="27" t="str">
        <x:v>Não se aplica</x:v>
      </x:c>
      <x:c r="O205" s="54" t="str">
        <x:v>Não se aplica</x:v>
      </x:c>
      <x:c r="P205" s="51"/>
    </x:row>
    <x:row r="206" ht="64.5" hidden="0" customHeight="1">
      <x:c r="B206" s="16" t="s">
        <x:v>472</x:v>
      </x:c>
      <x:c r="C206" s="17" t="n">
        <x:v>46624.5</x:v>
      </x:c>
      <x:c r="D206" s="18" t="s">
        <x:v>26</x:v>
      </x:c>
      <x:c r="E206" s="19" t="n">
        <x:v>0.770833333333333</x:v>
      </x:c>
      <x:c r="F206" s="18" t="s">
        <x:v>27</x:v>
      </x:c>
      <x:c r="G206" s="20" t="s">
        <x:v>473</x:v>
      </x:c>
      <x:c r="H206" s="20" t="s">
        <x:v>98</x:v>
      </x:c>
      <x:c r="I206" s="20" t="s">
        <x:v>112</x:v>
      </x:c>
      <x:c r="J206" s="20" t="str">
        <x:v>Planejada</x:v>
      </x:c>
      <x:c r="K206" s="20" t="str">
        <x:v>Planejada</x:v>
      </x:c>
      <x:c r="L206" s="20" t="s">
        <x:v>31</x:v>
      </x:c>
      <x:c r="M206" s="20" t="str">
        <x:v>Planejada</x:v>
      </x:c>
      <x:c r="N206" s="20" t="str">
        <x:v>Planejada</x:v>
      </x:c>
      <x:c r="O206" s="55" t="str">
        <x:v>Planejada</x:v>
      </x:c>
      <x:c r="P206" s="51"/>
    </x:row>
    <x:row r="207" ht="64.5" hidden="0" customHeight="1">
      <x:c r="B207" s="9" t="s">
        <x:v>474</x:v>
      </x:c>
      <x:c r="C207" s="10" t="n">
        <x:v>46626.5</x:v>
      </x:c>
      <x:c r="D207" s="11" t="s">
        <x:v>33</x:v>
      </x:c>
      <x:c r="E207" s="12" t="n">
        <x:v>0.5</x:v>
      </x:c>
      <x:c r="F207" s="11" t="s">
        <x:v>34</x:v>
      </x:c>
      <x:c r="G207" s="13" t="s">
        <x:v>475</x:v>
      </x:c>
      <x:c r="H207" s="13" t="s">
        <x:v>102</x:v>
      </x:c>
      <x:c r="I207" s="13" t="s">
        <x:v>115</x:v>
      </x:c>
      <x:c r="J207" s="13" t="str">
        <x:v>Planejada</x:v>
      </x:c>
      <x:c r="K207" s="13" t="str">
        <x:v>Planejada</x:v>
      </x:c>
      <x:c r="L207" s="13" t="s">
        <x:v>38</x:v>
      </x:c>
      <x:c r="M207" s="13" t="str">
        <x:v>Planejada</x:v>
      </x:c>
      <x:c r="N207" s="14" t="str">
        <x:v>Não se aplica</x:v>
      </x:c>
      <x:c r="O207" s="53" t="str">
        <x:v>Não se aplica</x:v>
      </x:c>
      <x:c r="P207" s="51"/>
    </x:row>
    <x:row r="208" ht="64.5" hidden="0" customHeight="1">
      <x:c r="B208" s="16" t="s">
        <x:v>476</x:v>
      </x:c>
      <x:c r="C208" s="17" t="n">
        <x:v>46627.5</x:v>
      </x:c>
      <x:c r="D208" s="18" t="s">
        <x:v>40</x:v>
      </x:c>
      <x:c r="E208" s="19" t="n">
        <x:v>0.416666666666667</x:v>
      </x:c>
      <x:c r="F208" s="18" t="s">
        <x:v>20</x:v>
      </x:c>
      <x:c r="G208" s="20" t="s">
        <x:v>477</x:v>
      </x:c>
      <x:c r="H208" s="20" t="s">
        <x:v>105</x:v>
      </x:c>
      <x:c r="I208" s="20" t="s">
        <x:v>106</x:v>
      </x:c>
      <x:c r="J208" s="20" t="str">
        <x:v>Planejada</x:v>
      </x:c>
      <x:c r="K208" s="20" t="str">
        <x:v>Planejada</x:v>
      </x:c>
      <x:c r="L208" s="20" t="s">
        <x:v>24</x:v>
      </x:c>
      <x:c r="M208" s="20" t="str">
        <x:v>Planejada</x:v>
      </x:c>
      <x:c r="N208" s="21" t="str">
        <x:v>Não se aplica</x:v>
      </x:c>
      <x:c r="O208" s="55" t="str">
        <x:v>Não se aplica</x:v>
      </x:c>
      <x:c r="P208" s="51"/>
    </x:row>
    <x:row r="209" ht="64.5" hidden="0" customHeight="1">
      <x:c r="B209" s="22" t="s">
        <x:v>478</x:v>
      </x:c>
      <x:c r="C209" s="23" t="n">
        <x:v>46629.5</x:v>
      </x:c>
      <x:c r="D209" s="24" t="s">
        <x:v>19</x:v>
      </x:c>
      <x:c r="E209" s="25" t="n">
        <x:v>0.5</x:v>
      </x:c>
      <x:c r="F209" s="24" t="s">
        <x:v>34</x:v>
      </x:c>
      <x:c r="G209" s="26" t="s">
        <x:v>479</x:v>
      </x:c>
      <x:c r="H209" s="26" t="s">
        <x:v>94</x:v>
      </x:c>
      <x:c r="I209" s="26" t="s">
        <x:v>59</x:v>
      </x:c>
      <x:c r="J209" s="26" t="str">
        <x:v>Planejada</x:v>
      </x:c>
      <x:c r="K209" s="26" t="str">
        <x:v>Planejada</x:v>
      </x:c>
      <x:c r="L209" s="26" t="s">
        <x:v>38</x:v>
      </x:c>
      <x:c r="M209" s="26" t="str">
        <x:v>Planejada</x:v>
      </x:c>
      <x:c r="N209" s="27" t="str">
        <x:v>Não se aplica</x:v>
      </x:c>
      <x:c r="O209" s="54" t="str">
        <x:v>Não se aplica</x:v>
      </x:c>
      <x:c r="P209" s="51"/>
    </x:row>
    <x:row r="210" ht="64.5" hidden="0" customHeight="1">
      <x:c r="B210" s="16" t="s">
        <x:v>480</x:v>
      </x:c>
      <x:c r="C210" s="17" t="n">
        <x:v>46631.5</x:v>
      </x:c>
      <x:c r="D210" s="18" t="s">
        <x:v>26</x:v>
      </x:c>
      <x:c r="E210" s="19" t="n">
        <x:v>0.770833333333333</x:v>
      </x:c>
      <x:c r="F210" s="18" t="s">
        <x:v>27</x:v>
      </x:c>
      <x:c r="G210" s="20" t="s">
        <x:v>481</x:v>
      </x:c>
      <x:c r="H210" s="20" t="s">
        <x:v>98</x:v>
      </x:c>
      <x:c r="I210" s="20" t="s">
        <x:v>59</x:v>
      </x:c>
      <x:c r="J210" s="20" t="str">
        <x:v>Planejada</x:v>
      </x:c>
      <x:c r="K210" s="20" t="str">
        <x:v>Planejada</x:v>
      </x:c>
      <x:c r="L210" s="20" t="s">
        <x:v>31</x:v>
      </x:c>
      <x:c r="M210" s="20" t="str">
        <x:v>Planejada</x:v>
      </x:c>
      <x:c r="N210" s="20" t="str">
        <x:v>Planejada</x:v>
      </x:c>
      <x:c r="O210" s="55" t="str">
        <x:v>Planejada</x:v>
      </x:c>
      <x:c r="P210" s="51"/>
    </x:row>
    <x:row r="211" ht="64.5" hidden="0" customHeight="1">
      <x:c r="B211" s="9" t="s">
        <x:v>482</x:v>
      </x:c>
      <x:c r="C211" s="10" t="n">
        <x:v>46633.5</x:v>
      </x:c>
      <x:c r="D211" s="11" t="s">
        <x:v>33</x:v>
      </x:c>
      <x:c r="E211" s="12" t="n">
        <x:v>0.5</x:v>
      </x:c>
      <x:c r="F211" s="11" t="s">
        <x:v>34</x:v>
      </x:c>
      <x:c r="G211" s="13" t="s">
        <x:v>483</x:v>
      </x:c>
      <x:c r="H211" s="13" t="s">
        <x:v>102</x:v>
      </x:c>
      <x:c r="I211" s="13" t="s">
        <x:v>47</x:v>
      </x:c>
      <x:c r="J211" s="13" t="str">
        <x:v>Planejada</x:v>
      </x:c>
      <x:c r="K211" s="13" t="str">
        <x:v>Planejada</x:v>
      </x:c>
      <x:c r="L211" s="13" t="s">
        <x:v>38</x:v>
      </x:c>
      <x:c r="M211" s="13" t="str">
        <x:v>Planejada</x:v>
      </x:c>
      <x:c r="N211" s="14" t="str">
        <x:v>Não se aplica</x:v>
      </x:c>
      <x:c r="O211" s="53" t="str">
        <x:v>Não se aplica</x:v>
      </x:c>
      <x:c r="P211" s="51"/>
    </x:row>
    <x:row r="212" ht="64.5" hidden="0" customHeight="1">
      <x:c r="B212" s="16" t="s">
        <x:v>484</x:v>
      </x:c>
      <x:c r="C212" s="17" t="n">
        <x:v>46634.5</x:v>
      </x:c>
      <x:c r="D212" s="18" t="s">
        <x:v>40</x:v>
      </x:c>
      <x:c r="E212" s="19" t="n">
        <x:v>0.416666666666667</x:v>
      </x:c>
      <x:c r="F212" s="18" t="s">
        <x:v>20</x:v>
      </x:c>
      <x:c r="G212" s="20" t="s">
        <x:v>485</x:v>
      </x:c>
      <x:c r="H212" s="20" t="s">
        <x:v>105</x:v>
      </x:c>
      <x:c r="I212" s="20" t="s">
        <x:v>106</x:v>
      </x:c>
      <x:c r="J212" s="20" t="str">
        <x:v>Planejada</x:v>
      </x:c>
      <x:c r="K212" s="20" t="str">
        <x:v>Planejada</x:v>
      </x:c>
      <x:c r="L212" s="20" t="s">
        <x:v>24</x:v>
      </x:c>
      <x:c r="M212" s="20" t="str">
        <x:v>Planejada</x:v>
      </x:c>
      <x:c r="N212" s="21" t="str">
        <x:v>Não se aplica</x:v>
      </x:c>
      <x:c r="O212" s="55" t="str">
        <x:v>Não se aplica</x:v>
      </x:c>
      <x:c r="P212" s="51"/>
    </x:row>
    <x:row r="213" ht="64.5" hidden="0" customHeight="1">
      <x:c r="B213" s="22" t="s">
        <x:v>486</x:v>
      </x:c>
      <x:c r="C213" s="23" t="n">
        <x:v>46636.5</x:v>
      </x:c>
      <x:c r="D213" s="24" t="s">
        <x:v>19</x:v>
      </x:c>
      <x:c r="E213" s="25" t="n">
        <x:v>0.5</x:v>
      </x:c>
      <x:c r="F213" s="24" t="s">
        <x:v>34</x:v>
      </x:c>
      <x:c r="G213" s="26" t="s">
        <x:v>487</x:v>
      </x:c>
      <x:c r="H213" s="26" t="s">
        <x:v>94</x:v>
      </x:c>
      <x:c r="I213" s="26" t="s">
        <x:v>128</x:v>
      </x:c>
      <x:c r="J213" s="26" t="str">
        <x:v>Planejada</x:v>
      </x:c>
      <x:c r="K213" s="26" t="str">
        <x:v>Planejada</x:v>
      </x:c>
      <x:c r="L213" s="26" t="s">
        <x:v>38</x:v>
      </x:c>
      <x:c r="M213" s="26" t="str">
        <x:v>Planejada</x:v>
      </x:c>
      <x:c r="N213" s="27" t="str">
        <x:v>Não se aplica</x:v>
      </x:c>
      <x:c r="O213" s="54" t="str">
        <x:v>Não se aplica</x:v>
      </x:c>
      <x:c r="P213" s="51"/>
    </x:row>
    <x:row r="214" ht="64.5" hidden="0" customHeight="1">
      <x:c r="B214" s="16" t="s">
        <x:v>488</x:v>
      </x:c>
      <x:c r="C214" s="17" t="n">
        <x:v>46638.5</x:v>
      </x:c>
      <x:c r="D214" s="18" t="s">
        <x:v>26</x:v>
      </x:c>
      <x:c r="E214" s="19" t="n">
        <x:v>0.770833333333333</x:v>
      </x:c>
      <x:c r="F214" s="18" t="s">
        <x:v>27</x:v>
      </x:c>
      <x:c r="G214" s="20" t="s">
        <x:v>489</x:v>
      </x:c>
      <x:c r="H214" s="20" t="s">
        <x:v>98</x:v>
      </x:c>
      <x:c r="I214" s="20" t="s">
        <x:v>91</x:v>
      </x:c>
      <x:c r="J214" s="20" t="str">
        <x:v>Planejada</x:v>
      </x:c>
      <x:c r="K214" s="20" t="str">
        <x:v>Planejada</x:v>
      </x:c>
      <x:c r="L214" s="20" t="s">
        <x:v>31</x:v>
      </x:c>
      <x:c r="M214" s="20" t="str">
        <x:v>Planejada</x:v>
      </x:c>
      <x:c r="N214" s="20" t="str">
        <x:v>Planejada</x:v>
      </x:c>
      <x:c r="O214" s="55" t="str">
        <x:v>Planejada</x:v>
      </x:c>
      <x:c r="P214" s="51"/>
    </x:row>
    <x:row r="216" ht="15" hidden="0">
      <x:c r="B216" s="29" t="s">
        <x:v>490</x:v>
      </x:c>
      <x:c r="C216" s="29"/>
      <x:c r="D216" s="29"/>
      <x:c r="E216" s="29"/>
      <x:c r="F216" s="29"/>
      <x:c r="G216" s="29"/>
      <x:c r="H216" s="29"/>
      <x:c r="I216" s="29"/>
      <x:c r="J216" s="29"/>
      <x:c r="K216" s="29"/>
      <x:c r="O216" s="29"/>
    </x:row>
    <x:row r="217" ht="15" hidden="0">
      <x:c r="B217" s="29" t="s">
        <x:v>491</x:v>
      </x:c>
      <x:c r="C217" s="29"/>
      <x:c r="D217" s="29"/>
      <x:c r="E217" s="29"/>
      <x:c r="F217" s="29"/>
      <x:c r="G217" s="29"/>
      <x:c r="H217" s="29"/>
      <x:c r="I217" s="29"/>
      <x:c r="J217" s="29"/>
      <x:c r="K217" s="29"/>
      <x:c r="O217" s="29"/>
    </x:row>
    <x:row r="218" ht="15" hidden="0">
      <x:c r="B218" s="29" t="str">
        <x:v>Amarelo: preencher responsável. A aba Produção mensal acompanha os materiais por ID; atualize os status de cada rede neste Calendário.</x:v>
      </x:c>
      <x:c r="C218" s="29"/>
      <x:c r="D218" s="29"/>
      <x:c r="E218" s="29"/>
      <x:c r="F218" s="29"/>
      <x:c r="G218" s="29"/>
      <x:c r="H218" s="29"/>
      <x:c r="I218" s="29"/>
      <x:c r="J218" s="29"/>
      <x:c r="K218" s="29"/>
      <x:c r="O218" s="29"/>
    </x:row>
  </x:sheetData>
  <x:conditionalFormatting sqref="J9:K214">
    <x:cfRule type="containsText" dxfId="16" priority="1" operator="containsText" text="Falta gravar"/>
    <x:cfRule type="containsText" dxfId="17" priority="2" operator="containsText" text="Publicado"/>
    <x:cfRule type="containsText" dxfId="18" priority="3" operator="containsText" text="Agendado"/>
  </x:conditionalFormatting>
  <x:conditionalFormatting sqref="M9:O214">
    <x:cfRule type="containsText" dxfId="19" priority="4" operator="containsText" text="Falta gravar"/>
    <x:cfRule type="containsText" dxfId="20" priority="5" operator="containsText" text="Publicado"/>
    <x:cfRule type="containsText" dxfId="21" priority="6" operator="containsText" text="Agendado"/>
  </x:conditionalFormatting>
  <x:conditionalFormatting sqref="O9:O214">
    <x:cfRule type="containsText" dxfId="22" priority="7" operator="containsText" text="Não se aplica"/>
  </x:conditionalFormatting>
  <x:dataValidations count="3">
    <x:dataValidation type="list" errorStyle="stop" showErrorMessage="1" errorTitle="Escolha um status da lista" error="Use uma das opções disponíveis para manter o controle consistente." sqref="J9:K214">
      <x:formula1>"Planejada,Falta gravar,Em produção,Em revisão,Aprovado,Agendado,Publicado"</x:formula1>
    </x:dataValidation>
    <x:dataValidation type="list" errorStyle="stop" showErrorMessage="1" errorTitle="Escolha um status da lista" error="Use uma das opções disponíveis para manter o controle consistente." sqref="M9:M214">
      <x:formula1>"Planejada,Falta gravar,Em produção,Em revisão,Aprovado,Agendado,Publicado"</x:formula1>
    </x:dataValidation>
    <x:dataValidation type="list" errorStyle="stop" showErrorMessage="1" errorTitle="Escolha um status da lista" error="Use uma das opções disponíveis para manter o controle consistente." sqref="N9:O214">
      <x:formula1>"Planejada,Falta gravar,Em produção,Em revisão,Aprovado,Agendado,Publicado,Não se aplica"</x:formula1>
    </x:dataValidation>
  </x:dataValidations>
  <x:pageMargins left="0.7" right="0.7" top="0.75" bottom="0.75" header="0.3" footer="0.3"/>
  <x:tableParts count="1">
    <x:tablePart xmlns:r="http://schemas.openxmlformats.org/officeDocument/2006/relationships" r:id="R6df3ceb0407e4357"/>
  </x:tableParts>
</x:worksheet>
</file>

<file path=xl/worksheets/sheet2.xml><?xml version="1.0" encoding="utf-8"?>
<x:worksheet xmlns:x="http://schemas.openxmlformats.org/spreadsheetml/2006/main">
  <x:sheetPr>
    <x:tabColor rgb="FF0E6B8F"/>
  </x:sheetPr>
  <x:sheetViews>
    <x:sheetView showGridLines="0" workbookViewId="0">
      <x:pane xSplit="2" ySplit="8" topLeftCell="C9" activePane="bottomRight" state="frozen"/>
    </x:sheetView>
  </x:sheetViews>
  <x:sheetFormatPr defaultColWidth="8.6796875" defaultRowHeight="15"/>
  <x:cols>
    <x:col min="1" max="1" width="2.890000104904175" hidden="0" customWidth="1"/>
    <x:col min="2" max="2" width="7.78000020980835" hidden="0" customWidth="1"/>
    <x:col min="3" max="3" width="19.440000534057617" hidden="0" customWidth="1"/>
    <x:col min="4" max="4" width="92.22000122070312" hidden="0" customWidth="1"/>
    <x:col min="5" max="5" width="2.890000104904175" hidden="0" customWidth="1"/>
  </x:cols>
  <x:sheetData>
    <x:row r="1" ht="15" hidden="0" customHeight="1">
      <x:c r="A1" s="1"/>
      <x:c r="B1" s="1"/>
      <x:c r="C1" s="1"/>
      <x:c r="D1" s="1"/>
      <x:c r="E1" s="1"/>
    </x:row>
    <x:row r="2" ht="24.75" hidden="0" customHeight="1">
      <x:c r="A2" s="1"/>
      <x:c r="B2" s="2" t="s">
        <x:v>492</x:v>
      </x:c>
      <x:c r="C2" s="1"/>
      <x:c r="D2" s="1"/>
      <x:c r="E2" s="1"/>
    </x:row>
    <x:row r="3" ht="19.5" hidden="0" customHeight="1">
      <x:c r="A3" s="1"/>
      <x:c r="B3" s="3" t="s">
        <x:v>493</x:v>
      </x:c>
      <x:c r="C3" s="1"/>
      <x:c r="D3" s="1"/>
      <x:c r="E3" s="1"/>
    </x:row>
    <x:row r="4" ht="15" hidden="0">
      <x:c r="A4" s="1"/>
      <x:c r="B4" s="4"/>
      <x:c r="C4" s="4"/>
      <x:c r="D4" s="4"/>
      <x:c r="E4" s="1"/>
    </x:row>
    <x:row r="5" ht="15" hidden="0">
      <x:c r="A5" s="1"/>
      <x:c r="B5" s="1"/>
      <x:c r="C5" s="1"/>
      <x:c r="D5" s="1"/>
      <x:c r="E5" s="1"/>
    </x:row>
    <x:row r="6" ht="15" hidden="0">
      <x:c r="A6" s="1"/>
      <x:c r="B6" s="1" t="s">
        <x:v>494</x:v>
      </x:c>
      <x:c r="C6" s="1"/>
      <x:c r="D6" s="1"/>
      <x:c r="E6" s="1"/>
    </x:row>
    <x:row r="7" ht="15" hidden="0">
      <x:c r="A7" s="1"/>
      <x:c r="B7" s="1"/>
      <x:c r="C7" s="1"/>
      <x:c r="D7" s="1"/>
      <x:c r="E7" s="1"/>
    </x:row>
    <x:row r="8" ht="30" hidden="0" customHeight="1">
      <x:c r="A8" s="1"/>
      <x:c r="B8" s="6" t="s">
        <x:v>5</x:v>
      </x:c>
      <x:c r="C8" s="7" t="s">
        <x:v>495</x:v>
      </x:c>
      <x:c r="D8" s="8" t="s">
        <x:v>496</x:v>
      </x:c>
      <x:c r="E8" s="1"/>
    </x:row>
    <x:row r="9" ht="57.75" hidden="0" customHeight="1">
      <x:c r="A9" s="1"/>
      <x:c r="B9" s="30" t="s">
        <x:v>18</x:v>
      </x:c>
      <x:c r="C9" s="30" t="s">
        <x:v>497</x:v>
      </x:c>
      <x:c r="D9" s="30" t="s">
        <x:v>498</x:v>
      </x:c>
      <x:c r="E9" s="1"/>
    </x:row>
    <x:row r="10" ht="43.5" hidden="0" customHeight="1">
      <x:c r="A10" s="1"/>
      <x:c r="B10" s="31" t="s">
        <x:v>18</x:v>
      </x:c>
      <x:c r="C10" s="31" t="s">
        <x:v>499</x:v>
      </x:c>
      <x:c r="D10" s="31" t="s">
        <x:v>500</x:v>
      </x:c>
      <x:c r="E10" s="1"/>
    </x:row>
    <x:row r="11" ht="43.5" hidden="0" customHeight="1">
      <x:c r="A11" s="1"/>
      <x:c r="B11" s="32" t="s">
        <x:v>18</x:v>
      </x:c>
      <x:c r="C11" s="32" t="s">
        <x:v>501</x:v>
      </x:c>
      <x:c r="D11" s="32" t="s">
        <x:v>502</x:v>
      </x:c>
      <x:c r="E11" s="1"/>
    </x:row>
    <x:row r="12" ht="157.5" hidden="0" customHeight="1">
      <x:c r="A12" s="1"/>
      <x:c r="B12" s="31" t="s">
        <x:v>18</x:v>
      </x:c>
      <x:c r="C12" s="31" t="s">
        <x:v>503</x:v>
      </x:c>
      <x:c r="D12" s="31" t="s">
        <x:v>504</x:v>
      </x:c>
      <x:c r="E12" s="1"/>
    </x:row>
    <x:row r="13" ht="100.5" hidden="0" customHeight="1">
      <x:c r="A13" s="1"/>
      <x:c r="B13" s="32" t="s">
        <x:v>18</x:v>
      </x:c>
      <x:c r="C13" s="32" t="s">
        <x:v>505</x:v>
      </x:c>
      <x:c r="D13" s="32" t="s">
        <x:v>506</x:v>
      </x:c>
      <x:c r="E13" s="1"/>
    </x:row>
    <x:row r="14" ht="100.5" hidden="0" customHeight="1">
      <x:c r="A14" s="1"/>
      <x:c r="B14" s="32" t="s">
        <x:v>18</x:v>
      </x:c>
      <x:c r="C14" s="32" t="s">
        <x:v>507</x:v>
      </x:c>
      <x:c r="D14" s="32" t="s">
        <x:v>508</x:v>
      </x:c>
      <x:c r="E14" s="1"/>
    </x:row>
    <x:row r="15" ht="43.5" hidden="0" customHeight="1">
      <x:c r="A15" s="1"/>
      <x:c r="B15" s="31" t="s">
        <x:v>18</x:v>
      </x:c>
      <x:c r="C15" s="31" t="s">
        <x:v>509</x:v>
      </x:c>
      <x:c r="D15" s="31" t="s">
        <x:v>510</x:v>
      </x:c>
      <x:c r="E15" s="1"/>
    </x:row>
    <x:row r="16" ht="43.5" hidden="0" customHeight="1">
      <x:c r="A16" s="1"/>
      <x:c r="B16" s="30" t="s">
        <x:v>25</x:v>
      </x:c>
      <x:c r="C16" s="30" t="s">
        <x:v>497</x:v>
      </x:c>
      <x:c r="D16" s="30" t="s">
        <x:v>511</x:v>
      </x:c>
      <x:c r="E16" s="1"/>
    </x:row>
    <x:row r="17" ht="86.25" hidden="0" customHeight="1">
      <x:c r="A17" s="1"/>
      <x:c r="B17" s="31" t="s">
        <x:v>25</x:v>
      </x:c>
      <x:c r="C17" s="31" t="s">
        <x:v>499</x:v>
      </x:c>
      <x:c r="D17" s="31" t="s">
        <x:v>512</x:v>
      </x:c>
      <x:c r="E17" s="1"/>
    </x:row>
    <x:row r="18" ht="43.5" hidden="0" customHeight="1">
      <x:c r="A18" s="1"/>
      <x:c r="B18" s="32" t="s">
        <x:v>25</x:v>
      </x:c>
      <x:c r="C18" s="32" t="s">
        <x:v>501</x:v>
      </x:c>
      <x:c r="D18" s="32" t="s">
        <x:v>513</x:v>
      </x:c>
      <x:c r="E18" s="1"/>
    </x:row>
    <x:row r="19" ht="129" hidden="0" customHeight="1">
      <x:c r="A19" s="1"/>
      <x:c r="B19" s="31" t="s">
        <x:v>25</x:v>
      </x:c>
      <x:c r="C19" s="31" t="s">
        <x:v>503</x:v>
      </x:c>
      <x:c r="D19" s="31" t="s">
        <x:v>514</x:v>
      </x:c>
      <x:c r="E19" s="1"/>
    </x:row>
    <x:row r="20" ht="100.5" hidden="0" customHeight="1">
      <x:c r="A20" s="1"/>
      <x:c r="B20" s="32" t="s">
        <x:v>25</x:v>
      </x:c>
      <x:c r="C20" s="32" t="s">
        <x:v>505</x:v>
      </x:c>
      <x:c r="D20" s="32" t="s">
        <x:v>515</x:v>
      </x:c>
      <x:c r="E20" s="1"/>
    </x:row>
    <x:row r="21" ht="100.5" hidden="0" customHeight="1">
      <x:c r="A21" s="1"/>
      <x:c r="B21" s="32" t="s">
        <x:v>25</x:v>
      </x:c>
      <x:c r="C21" s="32" t="s">
        <x:v>507</x:v>
      </x:c>
      <x:c r="D21" s="32" t="s">
        <x:v>516</x:v>
      </x:c>
      <x:c r="E21" s="1"/>
    </x:row>
    <x:row r="22" ht="90" hidden="0" customHeight="1">
      <x:c r="A22" s="1"/>
      <x:c r="B22" s="32" t="s">
        <x:v>25</x:v>
      </x:c>
      <x:c r="C22" s="32" t="s">
        <x:v>517</x:v>
      </x:c>
      <x:c r="D22" s="32" t="s">
        <x:v>518</x:v>
      </x:c>
      <x:c r="E22" s="1"/>
    </x:row>
    <x:row r="23" ht="43.5" hidden="0" customHeight="1">
      <x:c r="A23" s="1"/>
      <x:c r="B23" s="31" t="s">
        <x:v>25</x:v>
      </x:c>
      <x:c r="C23" s="31" t="s">
        <x:v>509</x:v>
      </x:c>
      <x:c r="D23" s="31" t="s">
        <x:v>519</x:v>
      </x:c>
      <x:c r="E23" s="1"/>
    </x:row>
    <x:row r="24" ht="43.5" hidden="0" customHeight="1">
      <x:c r="A24" s="1"/>
      <x:c r="B24" s="30" t="s">
        <x:v>32</x:v>
      </x:c>
      <x:c r="C24" s="30" t="s">
        <x:v>497</x:v>
      </x:c>
      <x:c r="D24" s="30" t="s">
        <x:v>520</x:v>
      </x:c>
      <x:c r="E24" s="1"/>
    </x:row>
    <x:row r="25" ht="100.5" hidden="0" customHeight="1">
      <x:c r="A25" s="1"/>
      <x:c r="B25" s="31" t="s">
        <x:v>32</x:v>
      </x:c>
      <x:c r="C25" s="31" t="s">
        <x:v>499</x:v>
      </x:c>
      <x:c r="D25" s="31" t="s">
        <x:v>521</x:v>
      </x:c>
      <x:c r="E25" s="1"/>
    </x:row>
    <x:row r="26" ht="43.5" hidden="0" customHeight="1">
      <x:c r="A26" s="1"/>
      <x:c r="B26" s="32" t="s">
        <x:v>32</x:v>
      </x:c>
      <x:c r="C26" s="32" t="s">
        <x:v>501</x:v>
      </x:c>
      <x:c r="D26" s="32" t="s">
        <x:v>522</x:v>
      </x:c>
      <x:c r="E26" s="1"/>
    </x:row>
    <x:row r="27" ht="143.25" hidden="0" customHeight="1">
      <x:c r="A27" s="1"/>
      <x:c r="B27" s="31" t="s">
        <x:v>32</x:v>
      </x:c>
      <x:c r="C27" s="31" t="s">
        <x:v>503</x:v>
      </x:c>
      <x:c r="D27" s="31" t="s">
        <x:v>523</x:v>
      </x:c>
      <x:c r="E27" s="1"/>
    </x:row>
    <x:row r="28" ht="72" hidden="0" customHeight="1">
      <x:c r="A28" s="1"/>
      <x:c r="B28" s="32" t="s">
        <x:v>32</x:v>
      </x:c>
      <x:c r="C28" s="32" t="s">
        <x:v>505</x:v>
      </x:c>
      <x:c r="D28" s="32" t="s">
        <x:v>524</x:v>
      </x:c>
      <x:c r="E28" s="1"/>
    </x:row>
    <x:row r="29" ht="72" hidden="0" customHeight="1">
      <x:c r="A29" s="1"/>
      <x:c r="B29" s="32" t="s">
        <x:v>32</x:v>
      </x:c>
      <x:c r="C29" s="32" t="s">
        <x:v>507</x:v>
      </x:c>
      <x:c r="D29" s="32" t="s">
        <x:v>525</x:v>
      </x:c>
      <x:c r="E29" s="1"/>
    </x:row>
    <x:row r="30" ht="43.5" hidden="0" customHeight="1">
      <x:c r="A30" s="1"/>
      <x:c r="B30" s="31" t="s">
        <x:v>32</x:v>
      </x:c>
      <x:c r="C30" s="31" t="s">
        <x:v>509</x:v>
      </x:c>
      <x:c r="D30" s="31" t="s">
        <x:v>526</x:v>
      </x:c>
      <x:c r="E30" s="1"/>
    </x:row>
    <x:row r="31" ht="43.5" hidden="0" customHeight="1">
      <x:c r="A31" s="1"/>
      <x:c r="B31" s="30" t="s">
        <x:v>39</x:v>
      </x:c>
      <x:c r="C31" s="30" t="s">
        <x:v>497</x:v>
      </x:c>
      <x:c r="D31" s="30" t="s">
        <x:v>527</x:v>
      </x:c>
      <x:c r="E31" s="1"/>
    </x:row>
    <x:row r="32" ht="43.5" hidden="0" customHeight="1">
      <x:c r="A32" s="1"/>
      <x:c r="B32" s="31" t="s">
        <x:v>39</x:v>
      </x:c>
      <x:c r="C32" s="31" t="s">
        <x:v>499</x:v>
      </x:c>
      <x:c r="D32" s="31" t="s">
        <x:v>528</x:v>
      </x:c>
      <x:c r="E32" s="1"/>
    </x:row>
    <x:row r="33" ht="43.5" hidden="0" customHeight="1">
      <x:c r="A33" s="1"/>
      <x:c r="B33" s="32" t="s">
        <x:v>39</x:v>
      </x:c>
      <x:c r="C33" s="32" t="s">
        <x:v>501</x:v>
      </x:c>
      <x:c r="D33" s="32" t="s">
        <x:v>529</x:v>
      </x:c>
      <x:c r="E33" s="1"/>
    </x:row>
    <x:row r="34" ht="129" hidden="0" customHeight="1">
      <x:c r="A34" s="1"/>
      <x:c r="B34" s="31" t="s">
        <x:v>39</x:v>
      </x:c>
      <x:c r="C34" s="31" t="s">
        <x:v>503</x:v>
      </x:c>
      <x:c r="D34" s="31" t="s">
        <x:v>530</x:v>
      </x:c>
      <x:c r="E34" s="1"/>
    </x:row>
    <x:row r="35" ht="72" hidden="0" customHeight="1">
      <x:c r="A35" s="1"/>
      <x:c r="B35" s="32" t="s">
        <x:v>39</x:v>
      </x:c>
      <x:c r="C35" s="32" t="s">
        <x:v>505</x:v>
      </x:c>
      <x:c r="D35" s="32" t="s">
        <x:v>531</x:v>
      </x:c>
      <x:c r="E35" s="1"/>
    </x:row>
    <x:row r="36" ht="72" hidden="0" customHeight="1">
      <x:c r="A36" s="1"/>
      <x:c r="B36" s="32" t="s">
        <x:v>39</x:v>
      </x:c>
      <x:c r="C36" s="32" t="s">
        <x:v>507</x:v>
      </x:c>
      <x:c r="D36" s="32" t="s">
        <x:v>532</x:v>
      </x:c>
      <x:c r="E36" s="1"/>
    </x:row>
    <x:row r="37" ht="43.5" hidden="0" customHeight="1">
      <x:c r="A37" s="1"/>
      <x:c r="B37" s="31" t="s">
        <x:v>39</x:v>
      </x:c>
      <x:c r="C37" s="31" t="s">
        <x:v>509</x:v>
      </x:c>
      <x:c r="D37" s="31" t="s">
        <x:v>533</x:v>
      </x:c>
      <x:c r="E37" s="1"/>
    </x:row>
    <x:row r="38" ht="43.5" hidden="0" customHeight="1">
      <x:c r="A38" s="1"/>
      <x:c r="B38" s="30" t="s">
        <x:v>44</x:v>
      </x:c>
      <x:c r="C38" s="30" t="s">
        <x:v>497</x:v>
      </x:c>
      <x:c r="D38" s="30" t="s">
        <x:v>534</x:v>
      </x:c>
      <x:c r="E38" s="1"/>
    </x:row>
    <x:row r="39" ht="114.75" hidden="0" customHeight="1">
      <x:c r="A39" s="1"/>
      <x:c r="B39" s="31" t="s">
        <x:v>44</x:v>
      </x:c>
      <x:c r="C39" s="31" t="s">
        <x:v>499</x:v>
      </x:c>
      <x:c r="D39" s="31" t="s">
        <x:v>535</x:v>
      </x:c>
      <x:c r="E39" s="1"/>
    </x:row>
    <x:row r="40" ht="43.5" hidden="0" customHeight="1">
      <x:c r="A40" s="1"/>
      <x:c r="B40" s="32" t="s">
        <x:v>44</x:v>
      </x:c>
      <x:c r="C40" s="32" t="s">
        <x:v>501</x:v>
      </x:c>
      <x:c r="D40" s="32" t="s">
        <x:v>536</x:v>
      </x:c>
      <x:c r="E40" s="1"/>
    </x:row>
    <x:row r="41" ht="129" hidden="0" customHeight="1">
      <x:c r="A41" s="1"/>
      <x:c r="B41" s="31" t="s">
        <x:v>44</x:v>
      </x:c>
      <x:c r="C41" s="31" t="s">
        <x:v>503</x:v>
      </x:c>
      <x:c r="D41" s="31" t="s">
        <x:v>537</x:v>
      </x:c>
      <x:c r="E41" s="1"/>
    </x:row>
    <x:row r="42" ht="72" hidden="0" customHeight="1">
      <x:c r="A42" s="1"/>
      <x:c r="B42" s="32" t="s">
        <x:v>44</x:v>
      </x:c>
      <x:c r="C42" s="32" t="s">
        <x:v>505</x:v>
      </x:c>
      <x:c r="D42" s="32" t="s">
        <x:v>538</x:v>
      </x:c>
      <x:c r="E42" s="1"/>
    </x:row>
    <x:row r="43" ht="72" hidden="0" customHeight="1">
      <x:c r="A43" s="1"/>
      <x:c r="B43" s="32" t="s">
        <x:v>44</x:v>
      </x:c>
      <x:c r="C43" s="32" t="s">
        <x:v>507</x:v>
      </x:c>
      <x:c r="D43" s="32" t="s">
        <x:v>539</x:v>
      </x:c>
      <x:c r="E43" s="1"/>
    </x:row>
    <x:row r="44" ht="43.5" hidden="0" customHeight="1">
      <x:c r="A44" s="1"/>
      <x:c r="B44" s="31" t="s">
        <x:v>44</x:v>
      </x:c>
      <x:c r="C44" s="31" t="s">
        <x:v>509</x:v>
      </x:c>
      <x:c r="D44" s="31" t="s">
        <x:v>540</x:v>
      </x:c>
      <x:c r="E44" s="1"/>
    </x:row>
    <x:row r="45" ht="43.5" hidden="0" customHeight="1">
      <x:c r="A45" s="1"/>
      <x:c r="B45" s="30" t="s">
        <x:v>48</x:v>
      </x:c>
      <x:c r="C45" s="30" t="s">
        <x:v>497</x:v>
      </x:c>
      <x:c r="D45" s="30" t="s">
        <x:v>541</x:v>
      </x:c>
      <x:c r="E45" s="1"/>
    </x:row>
    <x:row r="46" ht="114.75" hidden="0" customHeight="1">
      <x:c r="A46" s="1"/>
      <x:c r="B46" s="31" t="s">
        <x:v>48</x:v>
      </x:c>
      <x:c r="C46" s="31" t="s">
        <x:v>499</x:v>
      </x:c>
      <x:c r="D46" s="31" t="s">
        <x:v>542</x:v>
      </x:c>
      <x:c r="E46" s="1"/>
    </x:row>
    <x:row r="47" ht="43.5" hidden="0" customHeight="1">
      <x:c r="A47" s="1"/>
      <x:c r="B47" s="32" t="s">
        <x:v>48</x:v>
      </x:c>
      <x:c r="C47" s="32" t="s">
        <x:v>501</x:v>
      </x:c>
      <x:c r="D47" s="32" t="s">
        <x:v>543</x:v>
      </x:c>
      <x:c r="E47" s="1"/>
    </x:row>
    <x:row r="48" ht="129" hidden="0" customHeight="1">
      <x:c r="A48" s="1"/>
      <x:c r="B48" s="31" t="s">
        <x:v>48</x:v>
      </x:c>
      <x:c r="C48" s="31" t="s">
        <x:v>503</x:v>
      </x:c>
      <x:c r="D48" s="31" t="s">
        <x:v>544</x:v>
      </x:c>
      <x:c r="E48" s="1"/>
    </x:row>
    <x:row r="49" ht="72" hidden="0" customHeight="1">
      <x:c r="A49" s="1"/>
      <x:c r="B49" s="32" t="s">
        <x:v>48</x:v>
      </x:c>
      <x:c r="C49" s="32" t="s">
        <x:v>505</x:v>
      </x:c>
      <x:c r="D49" s="32" t="s">
        <x:v>545</x:v>
      </x:c>
      <x:c r="E49" s="1"/>
    </x:row>
    <x:row r="50" ht="72" hidden="0" customHeight="1">
      <x:c r="A50" s="1"/>
      <x:c r="B50" s="32" t="s">
        <x:v>48</x:v>
      </x:c>
      <x:c r="C50" s="32" t="s">
        <x:v>507</x:v>
      </x:c>
      <x:c r="D50" s="32" t="s">
        <x:v>546</x:v>
      </x:c>
      <x:c r="E50" s="1"/>
    </x:row>
    <x:row r="51" ht="90" hidden="0" customHeight="1">
      <x:c r="A51" s="1"/>
      <x:c r="B51" s="32" t="s">
        <x:v>48</x:v>
      </x:c>
      <x:c r="C51" s="32" t="s">
        <x:v>517</x:v>
      </x:c>
      <x:c r="D51" s="32" t="s">
        <x:v>547</x:v>
      </x:c>
      <x:c r="E51" s="1"/>
    </x:row>
    <x:row r="52" ht="43.5" hidden="0" customHeight="1">
      <x:c r="A52" s="1"/>
      <x:c r="B52" s="31" t="s">
        <x:v>48</x:v>
      </x:c>
      <x:c r="C52" s="31" t="s">
        <x:v>509</x:v>
      </x:c>
      <x:c r="D52" s="31" t="s">
        <x:v>548</x:v>
      </x:c>
      <x:c r="E52" s="1"/>
    </x:row>
    <x:row r="53" ht="43.5" hidden="0" customHeight="1">
      <x:c r="A53" s="1"/>
      <x:c r="B53" s="30" t="s">
        <x:v>52</x:v>
      </x:c>
      <x:c r="C53" s="30" t="s">
        <x:v>497</x:v>
      </x:c>
      <x:c r="D53" s="30" t="s">
        <x:v>549</x:v>
      </x:c>
      <x:c r="E53" s="1"/>
    </x:row>
    <x:row r="54" ht="114.75" hidden="0" customHeight="1">
      <x:c r="A54" s="1"/>
      <x:c r="B54" s="31" t="s">
        <x:v>52</x:v>
      </x:c>
      <x:c r="C54" s="31" t="s">
        <x:v>499</x:v>
      </x:c>
      <x:c r="D54" s="31" t="s">
        <x:v>550</x:v>
      </x:c>
      <x:c r="E54" s="1"/>
    </x:row>
    <x:row r="55" ht="43.5" hidden="0" customHeight="1">
      <x:c r="A55" s="1"/>
      <x:c r="B55" s="32" t="s">
        <x:v>52</x:v>
      </x:c>
      <x:c r="C55" s="32" t="s">
        <x:v>501</x:v>
      </x:c>
      <x:c r="D55" s="32" t="s">
        <x:v>551</x:v>
      </x:c>
      <x:c r="E55" s="1"/>
    </x:row>
    <x:row r="56" ht="129" hidden="0" customHeight="1">
      <x:c r="A56" s="1"/>
      <x:c r="B56" s="31" t="s">
        <x:v>52</x:v>
      </x:c>
      <x:c r="C56" s="31" t="s">
        <x:v>503</x:v>
      </x:c>
      <x:c r="D56" s="31" t="s">
        <x:v>552</x:v>
      </x:c>
      <x:c r="E56" s="1"/>
    </x:row>
    <x:row r="57" ht="72" hidden="0" customHeight="1">
      <x:c r="A57" s="1"/>
      <x:c r="B57" s="32" t="s">
        <x:v>52</x:v>
      </x:c>
      <x:c r="C57" s="32" t="s">
        <x:v>505</x:v>
      </x:c>
      <x:c r="D57" s="32" t="s">
        <x:v>553</x:v>
      </x:c>
      <x:c r="E57" s="1"/>
    </x:row>
    <x:row r="58" ht="72" hidden="0" customHeight="1">
      <x:c r="A58" s="1"/>
      <x:c r="B58" s="32" t="s">
        <x:v>52</x:v>
      </x:c>
      <x:c r="C58" s="32" t="s">
        <x:v>507</x:v>
      </x:c>
      <x:c r="D58" s="32" t="s">
        <x:v>554</x:v>
      </x:c>
      <x:c r="E58" s="1"/>
    </x:row>
    <x:row r="59" ht="43.5" hidden="0" customHeight="1">
      <x:c r="A59" s="1"/>
      <x:c r="B59" s="31" t="s">
        <x:v>52</x:v>
      </x:c>
      <x:c r="C59" s="31" t="s">
        <x:v>509</x:v>
      </x:c>
      <x:c r="D59" s="31" t="s">
        <x:v>555</x:v>
      </x:c>
      <x:c r="E59" s="1"/>
    </x:row>
    <x:row r="60" ht="43.5" hidden="0" customHeight="1">
      <x:c r="A60" s="1"/>
      <x:c r="B60" s="30" t="s">
        <x:v>56</x:v>
      </x:c>
      <x:c r="C60" s="30" t="s">
        <x:v>497</x:v>
      </x:c>
      <x:c r="D60" s="30" t="s">
        <x:v>556</x:v>
      </x:c>
      <x:c r="E60" s="1"/>
    </x:row>
    <x:row r="61" ht="34.5" hidden="0" customHeight="1">
      <x:c r="A61" s="1"/>
      <x:c r="B61" s="31" t="s">
        <x:v>56</x:v>
      </x:c>
      <x:c r="C61" s="31" t="s">
        <x:v>499</x:v>
      </x:c>
      <x:c r="D61" s="31" t="s">
        <x:v>557</x:v>
      </x:c>
      <x:c r="E61" s="1"/>
    </x:row>
    <x:row r="62" ht="43.5" hidden="0" customHeight="1">
      <x:c r="A62" s="1"/>
      <x:c r="B62" s="32" t="s">
        <x:v>56</x:v>
      </x:c>
      <x:c r="C62" s="32" t="s">
        <x:v>501</x:v>
      </x:c>
      <x:c r="D62" s="32" t="s">
        <x:v>558</x:v>
      </x:c>
      <x:c r="E62" s="1"/>
    </x:row>
    <x:row r="63" ht="114.75" hidden="0" customHeight="1">
      <x:c r="A63" s="1"/>
      <x:c r="B63" s="31" t="s">
        <x:v>56</x:v>
      </x:c>
      <x:c r="C63" s="31" t="s">
        <x:v>503</x:v>
      </x:c>
      <x:c r="D63" s="31" t="s">
        <x:v>559</x:v>
      </x:c>
      <x:c r="E63" s="1"/>
    </x:row>
    <x:row r="64" ht="57.75" hidden="0" customHeight="1">
      <x:c r="A64" s="1"/>
      <x:c r="B64" s="32" t="s">
        <x:v>56</x:v>
      </x:c>
      <x:c r="C64" s="32" t="s">
        <x:v>505</x:v>
      </x:c>
      <x:c r="D64" s="32" t="s">
        <x:v>560</x:v>
      </x:c>
      <x:c r="E64" s="1"/>
    </x:row>
    <x:row r="65" ht="57.75" hidden="0" customHeight="1">
      <x:c r="A65" s="1"/>
      <x:c r="B65" s="32" t="s">
        <x:v>56</x:v>
      </x:c>
      <x:c r="C65" s="32" t="s">
        <x:v>507</x:v>
      </x:c>
      <x:c r="D65" s="32" t="s">
        <x:v>561</x:v>
      </x:c>
      <x:c r="E65" s="1"/>
    </x:row>
    <x:row r="66" ht="43.5" hidden="0" customHeight="1">
      <x:c r="A66" s="1"/>
      <x:c r="B66" s="31" t="s">
        <x:v>56</x:v>
      </x:c>
      <x:c r="C66" s="31" t="s">
        <x:v>509</x:v>
      </x:c>
      <x:c r="D66" s="31" t="s">
        <x:v>562</x:v>
      </x:c>
      <x:c r="E66" s="1"/>
    </x:row>
    <x:row r="67" ht="43.5" hidden="0" customHeight="1">
      <x:c r="A67" s="1"/>
      <x:c r="B67" s="30" t="s">
        <x:v>60</x:v>
      </x:c>
      <x:c r="C67" s="30" t="s">
        <x:v>497</x:v>
      </x:c>
      <x:c r="D67" s="30" t="s">
        <x:v>563</x:v>
      </x:c>
      <x:c r="E67" s="1"/>
    </x:row>
    <x:row r="68" ht="114.75" hidden="0" customHeight="1">
      <x:c r="A68" s="1"/>
      <x:c r="B68" s="31" t="s">
        <x:v>60</x:v>
      </x:c>
      <x:c r="C68" s="31" t="s">
        <x:v>499</x:v>
      </x:c>
      <x:c r="D68" s="31" t="s">
        <x:v>564</x:v>
      </x:c>
      <x:c r="E68" s="1"/>
    </x:row>
    <x:row r="69" ht="43.5" hidden="0" customHeight="1">
      <x:c r="A69" s="1"/>
      <x:c r="B69" s="32" t="s">
        <x:v>60</x:v>
      </x:c>
      <x:c r="C69" s="32" t="s">
        <x:v>501</x:v>
      </x:c>
      <x:c r="D69" s="32" t="s">
        <x:v>565</x:v>
      </x:c>
      <x:c r="E69" s="1"/>
    </x:row>
    <x:row r="70" ht="143.25" hidden="0" customHeight="1">
      <x:c r="A70" s="1"/>
      <x:c r="B70" s="31" t="s">
        <x:v>60</x:v>
      </x:c>
      <x:c r="C70" s="31" t="s">
        <x:v>503</x:v>
      </x:c>
      <x:c r="D70" s="31" t="s">
        <x:v>566</x:v>
      </x:c>
      <x:c r="E70" s="1"/>
    </x:row>
    <x:row r="71" ht="100.5" hidden="0" customHeight="1">
      <x:c r="A71" s="1"/>
      <x:c r="B71" s="32" t="s">
        <x:v>60</x:v>
      </x:c>
      <x:c r="C71" s="32" t="s">
        <x:v>505</x:v>
      </x:c>
      <x:c r="D71" s="32" t="s">
        <x:v>567</x:v>
      </x:c>
      <x:c r="E71" s="1"/>
    </x:row>
    <x:row r="72" ht="100.5" hidden="0" customHeight="1">
      <x:c r="A72" s="1"/>
      <x:c r="B72" s="32" t="s">
        <x:v>60</x:v>
      </x:c>
      <x:c r="C72" s="32" t="s">
        <x:v>507</x:v>
      </x:c>
      <x:c r="D72" s="32" t="s">
        <x:v>568</x:v>
      </x:c>
      <x:c r="E72" s="1"/>
    </x:row>
    <x:row r="73" ht="43.5" hidden="0" customHeight="1">
      <x:c r="A73" s="1"/>
      <x:c r="B73" s="31" t="s">
        <x:v>60</x:v>
      </x:c>
      <x:c r="C73" s="31" t="s">
        <x:v>509</x:v>
      </x:c>
      <x:c r="D73" s="31" t="s">
        <x:v>569</x:v>
      </x:c>
      <x:c r="E73" s="1"/>
    </x:row>
    <x:row r="74" ht="43.5" hidden="0" customHeight="1">
      <x:c r="A74" s="1"/>
      <x:c r="B74" s="30" t="s">
        <x:v>64</x:v>
      </x:c>
      <x:c r="C74" s="30" t="s">
        <x:v>497</x:v>
      </x:c>
      <x:c r="D74" s="30" t="s">
        <x:v>570</x:v>
      </x:c>
      <x:c r="E74" s="1"/>
    </x:row>
    <x:row r="75" ht="114.75" hidden="0" customHeight="1">
      <x:c r="A75" s="1"/>
      <x:c r="B75" s="31" t="s">
        <x:v>64</x:v>
      </x:c>
      <x:c r="C75" s="31" t="s">
        <x:v>499</x:v>
      </x:c>
      <x:c r="D75" s="31" t="s">
        <x:v>571</x:v>
      </x:c>
      <x:c r="E75" s="1"/>
    </x:row>
    <x:row r="76" ht="43.5" hidden="0" customHeight="1">
      <x:c r="A76" s="1"/>
      <x:c r="B76" s="32" t="s">
        <x:v>64</x:v>
      </x:c>
      <x:c r="C76" s="32" t="s">
        <x:v>501</x:v>
      </x:c>
      <x:c r="D76" s="32" t="s">
        <x:v>572</x:v>
      </x:c>
      <x:c r="E76" s="1"/>
    </x:row>
    <x:row r="77" ht="143.25" hidden="0" customHeight="1">
      <x:c r="A77" s="1"/>
      <x:c r="B77" s="31" t="s">
        <x:v>64</x:v>
      </x:c>
      <x:c r="C77" s="31" t="s">
        <x:v>503</x:v>
      </x:c>
      <x:c r="D77" s="31" t="s">
        <x:v>573</x:v>
      </x:c>
      <x:c r="E77" s="1"/>
    </x:row>
    <x:row r="78" ht="86.25" hidden="0" customHeight="1">
      <x:c r="A78" s="1"/>
      <x:c r="B78" s="32" t="s">
        <x:v>64</x:v>
      </x:c>
      <x:c r="C78" s="32" t="s">
        <x:v>505</x:v>
      </x:c>
      <x:c r="D78" s="32" t="s">
        <x:v>574</x:v>
      </x:c>
      <x:c r="E78" s="1"/>
    </x:row>
    <x:row r="79" ht="86.25" hidden="0" customHeight="1">
      <x:c r="A79" s="1"/>
      <x:c r="B79" s="32" t="s">
        <x:v>64</x:v>
      </x:c>
      <x:c r="C79" s="32" t="s">
        <x:v>507</x:v>
      </x:c>
      <x:c r="D79" s="32" t="s">
        <x:v>575</x:v>
      </x:c>
      <x:c r="E79" s="1"/>
    </x:row>
    <x:row r="80" ht="90" hidden="0" customHeight="1">
      <x:c r="A80" s="1"/>
      <x:c r="B80" s="32" t="s">
        <x:v>64</x:v>
      </x:c>
      <x:c r="C80" s="32" t="s">
        <x:v>517</x:v>
      </x:c>
      <x:c r="D80" s="32" t="s">
        <x:v>576</x:v>
      </x:c>
      <x:c r="E80" s="1"/>
    </x:row>
    <x:row r="81" ht="43.5" hidden="0" customHeight="1">
      <x:c r="A81" s="1"/>
      <x:c r="B81" s="31" t="s">
        <x:v>64</x:v>
      </x:c>
      <x:c r="C81" s="31" t="s">
        <x:v>509</x:v>
      </x:c>
      <x:c r="D81" s="31" t="s">
        <x:v>577</x:v>
      </x:c>
      <x:c r="E81" s="1"/>
    </x:row>
    <x:row r="82" ht="43.5" hidden="0" customHeight="1">
      <x:c r="A82" s="1"/>
      <x:c r="B82" s="30" t="s">
        <x:v>68</x:v>
      </x:c>
      <x:c r="C82" s="30" t="s">
        <x:v>497</x:v>
      </x:c>
      <x:c r="D82" s="30" t="s">
        <x:v>578</x:v>
      </x:c>
      <x:c r="E82" s="1"/>
    </x:row>
    <x:row r="83" ht="100.5" hidden="0" customHeight="1">
      <x:c r="A83" s="1"/>
      <x:c r="B83" s="31" t="s">
        <x:v>68</x:v>
      </x:c>
      <x:c r="C83" s="31" t="s">
        <x:v>499</x:v>
      </x:c>
      <x:c r="D83" s="31" t="s">
        <x:v>579</x:v>
      </x:c>
      <x:c r="E83" s="1"/>
    </x:row>
    <x:row r="84" ht="43.5" hidden="0" customHeight="1">
      <x:c r="A84" s="1"/>
      <x:c r="B84" s="32" t="s">
        <x:v>68</x:v>
      </x:c>
      <x:c r="C84" s="32" t="s">
        <x:v>501</x:v>
      </x:c>
      <x:c r="D84" s="32" t="s">
        <x:v>580</x:v>
      </x:c>
      <x:c r="E84" s="1"/>
    </x:row>
    <x:row r="85" ht="129" hidden="0" customHeight="1">
      <x:c r="A85" s="1"/>
      <x:c r="B85" s="31" t="s">
        <x:v>68</x:v>
      </x:c>
      <x:c r="C85" s="31" t="s">
        <x:v>503</x:v>
      </x:c>
      <x:c r="D85" s="31" t="s">
        <x:v>581</x:v>
      </x:c>
      <x:c r="E85" s="1"/>
    </x:row>
    <x:row r="86" ht="100.5" hidden="0" customHeight="1">
      <x:c r="A86" s="1"/>
      <x:c r="B86" s="32" t="s">
        <x:v>68</x:v>
      </x:c>
      <x:c r="C86" s="32" t="s">
        <x:v>505</x:v>
      </x:c>
      <x:c r="D86" s="32" t="s">
        <x:v>582</x:v>
      </x:c>
      <x:c r="E86" s="1"/>
    </x:row>
    <x:row r="87" ht="100.5" hidden="0" customHeight="1">
      <x:c r="A87" s="1"/>
      <x:c r="B87" s="32" t="s">
        <x:v>68</x:v>
      </x:c>
      <x:c r="C87" s="32" t="s">
        <x:v>507</x:v>
      </x:c>
      <x:c r="D87" s="32" t="s">
        <x:v>583</x:v>
      </x:c>
      <x:c r="E87" s="1"/>
    </x:row>
    <x:row r="88" ht="43.5" hidden="0" customHeight="1">
      <x:c r="A88" s="1"/>
      <x:c r="B88" s="31" t="s">
        <x:v>68</x:v>
      </x:c>
      <x:c r="C88" s="31" t="s">
        <x:v>509</x:v>
      </x:c>
      <x:c r="D88" s="31" t="s">
        <x:v>584</x:v>
      </x:c>
      <x:c r="E88" s="1"/>
    </x:row>
    <x:row r="89" ht="57.75" hidden="0" customHeight="1">
      <x:c r="A89" s="1"/>
      <x:c r="B89" s="30" t="s">
        <x:v>72</x:v>
      </x:c>
      <x:c r="C89" s="30" t="s">
        <x:v>497</x:v>
      </x:c>
      <x:c r="D89" s="30" t="s">
        <x:v>585</x:v>
      </x:c>
      <x:c r="E89" s="1"/>
    </x:row>
    <x:row r="90" ht="34.5" hidden="0" customHeight="1">
      <x:c r="A90" s="1"/>
      <x:c r="B90" s="31" t="s">
        <x:v>72</x:v>
      </x:c>
      <x:c r="C90" s="31" t="s">
        <x:v>499</x:v>
      </x:c>
      <x:c r="D90" s="31" t="s">
        <x:v>586</x:v>
      </x:c>
      <x:c r="E90" s="1"/>
    </x:row>
    <x:row r="91" ht="43.5" hidden="0" customHeight="1">
      <x:c r="A91" s="1"/>
      <x:c r="B91" s="32" t="s">
        <x:v>72</x:v>
      </x:c>
      <x:c r="C91" s="32" t="s">
        <x:v>501</x:v>
      </x:c>
      <x:c r="D91" s="32" t="s">
        <x:v>587</x:v>
      </x:c>
      <x:c r="E91" s="1"/>
    </x:row>
    <x:row r="92" ht="129" hidden="0" customHeight="1">
      <x:c r="A92" s="1"/>
      <x:c r="B92" s="31" t="s">
        <x:v>72</x:v>
      </x:c>
      <x:c r="C92" s="31" t="s">
        <x:v>503</x:v>
      </x:c>
      <x:c r="D92" s="31" t="s">
        <x:v>588</x:v>
      </x:c>
      <x:c r="E92" s="1"/>
    </x:row>
    <x:row r="93" ht="57.75" hidden="0" customHeight="1">
      <x:c r="A93" s="1"/>
      <x:c r="B93" s="32" t="s">
        <x:v>72</x:v>
      </x:c>
      <x:c r="C93" s="32" t="s">
        <x:v>505</x:v>
      </x:c>
      <x:c r="D93" s="32" t="s">
        <x:v>589</x:v>
      </x:c>
      <x:c r="E93" s="1"/>
    </x:row>
    <x:row r="94" ht="57.75" hidden="0" customHeight="1">
      <x:c r="A94" s="1"/>
      <x:c r="B94" s="32" t="s">
        <x:v>72</x:v>
      </x:c>
      <x:c r="C94" s="32" t="s">
        <x:v>507</x:v>
      </x:c>
      <x:c r="D94" s="32" t="s">
        <x:v>590</x:v>
      </x:c>
      <x:c r="E94" s="1"/>
    </x:row>
    <x:row r="95" ht="43.5" hidden="0" customHeight="1">
      <x:c r="A95" s="1"/>
      <x:c r="B95" s="31" t="s">
        <x:v>72</x:v>
      </x:c>
      <x:c r="C95" s="31" t="s">
        <x:v>509</x:v>
      </x:c>
      <x:c r="D95" s="31" t="s">
        <x:v>591</x:v>
      </x:c>
      <x:c r="E95" s="1"/>
    </x:row>
    <x:row r="96" ht="43.5" hidden="0" customHeight="1">
      <x:c r="A96" s="1"/>
      <x:c r="B96" s="30" t="s">
        <x:v>76</x:v>
      </x:c>
      <x:c r="C96" s="30" t="s">
        <x:v>497</x:v>
      </x:c>
      <x:c r="D96" s="30" t="s">
        <x:v>592</x:v>
      </x:c>
      <x:c r="E96" s="1"/>
    </x:row>
    <x:row r="97" ht="114.75" hidden="0" customHeight="1">
      <x:c r="A97" s="1"/>
      <x:c r="B97" s="31" t="s">
        <x:v>76</x:v>
      </x:c>
      <x:c r="C97" s="31" t="s">
        <x:v>499</x:v>
      </x:c>
      <x:c r="D97" s="31" t="s">
        <x:v>593</x:v>
      </x:c>
      <x:c r="E97" s="1"/>
    </x:row>
    <x:row r="98" ht="43.5" hidden="0" customHeight="1">
      <x:c r="A98" s="1"/>
      <x:c r="B98" s="32" t="s">
        <x:v>76</x:v>
      </x:c>
      <x:c r="C98" s="32" t="s">
        <x:v>501</x:v>
      </x:c>
      <x:c r="D98" s="32" t="s">
        <x:v>594</x:v>
      </x:c>
      <x:c r="E98" s="1"/>
    </x:row>
    <x:row r="99" ht="129" hidden="0" customHeight="1">
      <x:c r="A99" s="1"/>
      <x:c r="B99" s="31" t="s">
        <x:v>76</x:v>
      </x:c>
      <x:c r="C99" s="31" t="s">
        <x:v>503</x:v>
      </x:c>
      <x:c r="D99" s="31" t="s">
        <x:v>595</x:v>
      </x:c>
      <x:c r="E99" s="1"/>
    </x:row>
    <x:row r="100" ht="86.25" hidden="0" customHeight="1">
      <x:c r="A100" s="1"/>
      <x:c r="B100" s="32" t="s">
        <x:v>76</x:v>
      </x:c>
      <x:c r="C100" s="32" t="s">
        <x:v>505</x:v>
      </x:c>
      <x:c r="D100" s="32" t="s">
        <x:v>596</x:v>
      </x:c>
      <x:c r="E100" s="1"/>
    </x:row>
    <x:row r="101" ht="86.25" hidden="0" customHeight="1">
      <x:c r="A101" s="1"/>
      <x:c r="B101" s="32" t="s">
        <x:v>76</x:v>
      </x:c>
      <x:c r="C101" s="32" t="s">
        <x:v>507</x:v>
      </x:c>
      <x:c r="D101" s="32" t="s">
        <x:v>597</x:v>
      </x:c>
      <x:c r="E101" s="1"/>
    </x:row>
    <x:row r="102" ht="43.5" hidden="0" customHeight="1">
      <x:c r="A102" s="1"/>
      <x:c r="B102" s="31" t="s">
        <x:v>76</x:v>
      </x:c>
      <x:c r="C102" s="31" t="s">
        <x:v>509</x:v>
      </x:c>
      <x:c r="D102" s="31" t="s">
        <x:v>598</x:v>
      </x:c>
      <x:c r="E102" s="1"/>
    </x:row>
    <x:row r="103" ht="43.5" hidden="0" customHeight="1">
      <x:c r="A103" s="1"/>
      <x:c r="B103" s="30" t="s">
        <x:v>80</x:v>
      </x:c>
      <x:c r="C103" s="30" t="s">
        <x:v>497</x:v>
      </x:c>
      <x:c r="D103" s="30" t="s">
        <x:v>599</x:v>
      </x:c>
      <x:c r="E103" s="1"/>
    </x:row>
    <x:row r="104" ht="100.5" hidden="0" customHeight="1">
      <x:c r="A104" s="1"/>
      <x:c r="B104" s="31" t="s">
        <x:v>80</x:v>
      </x:c>
      <x:c r="C104" s="31" t="s">
        <x:v>499</x:v>
      </x:c>
      <x:c r="D104" s="31" t="s">
        <x:v>600</x:v>
      </x:c>
      <x:c r="E104" s="1"/>
    </x:row>
    <x:row r="105" ht="43.5" hidden="0" customHeight="1">
      <x:c r="A105" s="1"/>
      <x:c r="B105" s="32" t="s">
        <x:v>80</x:v>
      </x:c>
      <x:c r="C105" s="32" t="s">
        <x:v>501</x:v>
      </x:c>
      <x:c r="D105" s="32" t="s">
        <x:v>601</x:v>
      </x:c>
      <x:c r="E105" s="1"/>
    </x:row>
    <x:row r="106" ht="129" hidden="0" customHeight="1">
      <x:c r="A106" s="1"/>
      <x:c r="B106" s="31" t="s">
        <x:v>80</x:v>
      </x:c>
      <x:c r="C106" s="31" t="s">
        <x:v>503</x:v>
      </x:c>
      <x:c r="D106" s="31" t="s">
        <x:v>602</x:v>
      </x:c>
      <x:c r="E106" s="1"/>
    </x:row>
    <x:row r="107" ht="86.25" hidden="0" customHeight="1">
      <x:c r="A107" s="1"/>
      <x:c r="B107" s="32" t="s">
        <x:v>80</x:v>
      </x:c>
      <x:c r="C107" s="32" t="s">
        <x:v>505</x:v>
      </x:c>
      <x:c r="D107" s="32" t="s">
        <x:v>603</x:v>
      </x:c>
      <x:c r="E107" s="1"/>
    </x:row>
    <x:row r="108" ht="86.25" hidden="0" customHeight="1">
      <x:c r="A108" s="1"/>
      <x:c r="B108" s="32" t="s">
        <x:v>80</x:v>
      </x:c>
      <x:c r="C108" s="32" t="s">
        <x:v>507</x:v>
      </x:c>
      <x:c r="D108" s="32" t="s">
        <x:v>604</x:v>
      </x:c>
      <x:c r="E108" s="1"/>
    </x:row>
    <x:row r="109" ht="90" hidden="0" customHeight="1">
      <x:c r="A109" s="1"/>
      <x:c r="B109" s="32" t="s">
        <x:v>80</x:v>
      </x:c>
      <x:c r="C109" s="32" t="s">
        <x:v>517</x:v>
      </x:c>
      <x:c r="D109" s="32" t="s">
        <x:v>605</x:v>
      </x:c>
      <x:c r="E109" s="1"/>
    </x:row>
    <x:row r="110" ht="43.5" hidden="0" customHeight="1">
      <x:c r="A110" s="1"/>
      <x:c r="B110" s="31" t="s">
        <x:v>80</x:v>
      </x:c>
      <x:c r="C110" s="31" t="s">
        <x:v>509</x:v>
      </x:c>
      <x:c r="D110" s="31" t="s">
        <x:v>606</x:v>
      </x:c>
      <x:c r="E110" s="1"/>
    </x:row>
    <x:row r="111" ht="43.5" hidden="0" customHeight="1">
      <x:c r="A111" s="1"/>
      <x:c r="B111" s="30" t="s">
        <x:v>84</x:v>
      </x:c>
      <x:c r="C111" s="30" t="s">
        <x:v>497</x:v>
      </x:c>
      <x:c r="D111" s="30" t="s">
        <x:v>607</x:v>
      </x:c>
      <x:c r="E111" s="1"/>
    </x:row>
    <x:row r="112" ht="114.75" hidden="0" customHeight="1">
      <x:c r="A112" s="1"/>
      <x:c r="B112" s="31" t="s">
        <x:v>84</x:v>
      </x:c>
      <x:c r="C112" s="31" t="s">
        <x:v>499</x:v>
      </x:c>
      <x:c r="D112" s="31" t="s">
        <x:v>608</x:v>
      </x:c>
      <x:c r="E112" s="1"/>
    </x:row>
    <x:row r="113" ht="43.5" hidden="0" customHeight="1">
      <x:c r="A113" s="1"/>
      <x:c r="B113" s="32" t="s">
        <x:v>84</x:v>
      </x:c>
      <x:c r="C113" s="32" t="s">
        <x:v>501</x:v>
      </x:c>
      <x:c r="D113" s="32" t="s">
        <x:v>609</x:v>
      </x:c>
      <x:c r="E113" s="1"/>
    </x:row>
    <x:row r="114" ht="143.25" hidden="0" customHeight="1">
      <x:c r="A114" s="1"/>
      <x:c r="B114" s="31" t="s">
        <x:v>84</x:v>
      </x:c>
      <x:c r="C114" s="31" t="s">
        <x:v>503</x:v>
      </x:c>
      <x:c r="D114" s="31" t="s">
        <x:v>610</x:v>
      </x:c>
      <x:c r="E114" s="1"/>
    </x:row>
    <x:row r="115" ht="86.25" hidden="0" customHeight="1">
      <x:c r="A115" s="1"/>
      <x:c r="B115" s="32" t="s">
        <x:v>84</x:v>
      </x:c>
      <x:c r="C115" s="32" t="s">
        <x:v>505</x:v>
      </x:c>
      <x:c r="D115" s="32" t="s">
        <x:v>611</x:v>
      </x:c>
      <x:c r="E115" s="1"/>
    </x:row>
    <x:row r="116" ht="86.25" hidden="0" customHeight="1">
      <x:c r="A116" s="1"/>
      <x:c r="B116" s="32" t="s">
        <x:v>84</x:v>
      </x:c>
      <x:c r="C116" s="32" t="s">
        <x:v>507</x:v>
      </x:c>
      <x:c r="D116" s="32" t="s">
        <x:v>612</x:v>
      </x:c>
      <x:c r="E116" s="1"/>
    </x:row>
    <x:row r="117" ht="43.5" hidden="0" customHeight="1">
      <x:c r="A117" s="1"/>
      <x:c r="B117" s="31" t="s">
        <x:v>84</x:v>
      </x:c>
      <x:c r="C117" s="31" t="s">
        <x:v>509</x:v>
      </x:c>
      <x:c r="D117" s="31" t="s">
        <x:v>613</x:v>
      </x:c>
      <x:c r="E117" s="1"/>
    </x:row>
    <x:row r="118" ht="43.5" hidden="0" customHeight="1">
      <x:c r="A118" s="1"/>
      <x:c r="B118" s="30" t="s">
        <x:v>88</x:v>
      </x:c>
      <x:c r="C118" s="30" t="s">
        <x:v>497</x:v>
      </x:c>
      <x:c r="D118" s="30" t="s">
        <x:v>614</x:v>
      </x:c>
      <x:c r="E118" s="1"/>
    </x:row>
    <x:row r="119" ht="43.5" hidden="0" customHeight="1">
      <x:c r="A119" s="1"/>
      <x:c r="B119" s="31" t="s">
        <x:v>88</x:v>
      </x:c>
      <x:c r="C119" s="31" t="s">
        <x:v>499</x:v>
      </x:c>
      <x:c r="D119" s="31" t="s">
        <x:v>615</x:v>
      </x:c>
      <x:c r="E119" s="1"/>
    </x:row>
    <x:row r="120" ht="43.5" hidden="0" customHeight="1">
      <x:c r="A120" s="1"/>
      <x:c r="B120" s="32" t="s">
        <x:v>88</x:v>
      </x:c>
      <x:c r="C120" s="32" t="s">
        <x:v>501</x:v>
      </x:c>
      <x:c r="D120" s="32" t="s">
        <x:v>616</x:v>
      </x:c>
      <x:c r="E120" s="1"/>
    </x:row>
    <x:row r="121" ht="143.25" hidden="0" customHeight="1">
      <x:c r="A121" s="1"/>
      <x:c r="B121" s="31" t="s">
        <x:v>88</x:v>
      </x:c>
      <x:c r="C121" s="31" t="s">
        <x:v>503</x:v>
      </x:c>
      <x:c r="D121" s="31" t="s">
        <x:v>617</x:v>
      </x:c>
      <x:c r="E121" s="1"/>
    </x:row>
    <x:row r="122" ht="100.5" hidden="0" customHeight="1">
      <x:c r="A122" s="1"/>
      <x:c r="B122" s="32" t="s">
        <x:v>88</x:v>
      </x:c>
      <x:c r="C122" s="32" t="s">
        <x:v>505</x:v>
      </x:c>
      <x:c r="D122" s="32" t="s">
        <x:v>618</x:v>
      </x:c>
      <x:c r="E122" s="1"/>
    </x:row>
    <x:row r="123" ht="100.5" hidden="0" customHeight="1">
      <x:c r="A123" s="1"/>
      <x:c r="B123" s="32" t="s">
        <x:v>88</x:v>
      </x:c>
      <x:c r="C123" s="32" t="s">
        <x:v>507</x:v>
      </x:c>
      <x:c r="D123" s="32" t="s">
        <x:v>619</x:v>
      </x:c>
      <x:c r="E123" s="1"/>
    </x:row>
    <x:row r="124" ht="43.5" hidden="0" customHeight="1">
      <x:c r="A124" s="1"/>
      <x:c r="B124" s="31" t="s">
        <x:v>88</x:v>
      </x:c>
      <x:c r="C124" s="31" t="s">
        <x:v>509</x:v>
      </x:c>
      <x:c r="D124" s="31" t="s">
        <x:v>620</x:v>
      </x:c>
      <x:c r="E124" s="1"/>
    </x:row>
    <x:row r="125" ht="34.5" hidden="0" customHeight="1">
      <x:c r="B125" s="30" t="s">
        <x:v>92</x:v>
      </x:c>
      <x:c r="C125" s="30" t="s">
        <x:v>497</x:v>
      </x:c>
      <x:c r="D125" s="30" t="s">
        <x:v>93</x:v>
      </x:c>
    </x:row>
    <x:row r="126" ht="129" hidden="0" customHeight="1">
      <x:c r="B126" s="31" t="s">
        <x:v>92</x:v>
      </x:c>
      <x:c r="C126" s="31" t="s">
        <x:v>499</x:v>
      </x:c>
      <x:c r="D126" s="31" t="s">
        <x:v>621</x:v>
      </x:c>
    </x:row>
    <x:row r="127" ht="57.75" hidden="0" customHeight="1">
      <x:c r="B127" s="32" t="s">
        <x:v>92</x:v>
      </x:c>
      <x:c r="C127" s="32" t="s">
        <x:v>501</x:v>
      </x:c>
      <x:c r="D127" s="32" t="s">
        <x:v>622</x:v>
      </x:c>
    </x:row>
    <x:row r="128" ht="171.75" hidden="0" customHeight="1">
      <x:c r="B128" s="31" t="s">
        <x:v>92</x:v>
      </x:c>
      <x:c r="C128" s="31" t="s">
        <x:v>503</x:v>
      </x:c>
      <x:c r="D128" s="31" t="s">
        <x:v>623</x:v>
      </x:c>
    </x:row>
    <x:row r="129" ht="100.5" hidden="0" customHeight="1">
      <x:c r="B129" s="32" t="s">
        <x:v>92</x:v>
      </x:c>
      <x:c r="C129" s="32" t="s">
        <x:v>505</x:v>
      </x:c>
      <x:c r="D129" s="32" t="s">
        <x:v>624</x:v>
      </x:c>
    </x:row>
    <x:row r="130" ht="100.5" hidden="0" customHeight="1">
      <x:c r="B130" s="32" t="s">
        <x:v>92</x:v>
      </x:c>
      <x:c r="C130" s="32" t="s">
        <x:v>507</x:v>
      </x:c>
      <x:c r="D130" s="32" t="s">
        <x:v>625</x:v>
      </x:c>
    </x:row>
    <x:row r="131" ht="43.5" hidden="0" customHeight="1">
      <x:c r="B131" s="31" t="s">
        <x:v>92</x:v>
      </x:c>
      <x:c r="C131" s="31" t="s">
        <x:v>509</x:v>
      </x:c>
      <x:c r="D131" s="31" t="s">
        <x:v>626</x:v>
      </x:c>
    </x:row>
    <x:row r="132" ht="43.5" hidden="0" customHeight="1">
      <x:c r="B132" s="30" t="s">
        <x:v>96</x:v>
      </x:c>
      <x:c r="C132" s="30" t="s">
        <x:v>497</x:v>
      </x:c>
      <x:c r="D132" s="30" t="s">
        <x:v>627</x:v>
      </x:c>
    </x:row>
    <x:row r="133" ht="114.75" hidden="0" customHeight="1">
      <x:c r="B133" s="31" t="s">
        <x:v>96</x:v>
      </x:c>
      <x:c r="C133" s="31" t="s">
        <x:v>499</x:v>
      </x:c>
      <x:c r="D133" s="31" t="s">
        <x:v>628</x:v>
      </x:c>
    </x:row>
    <x:row r="134" ht="57.75" hidden="0" customHeight="1">
      <x:c r="B134" s="32" t="s">
        <x:v>96</x:v>
      </x:c>
      <x:c r="C134" s="32" t="s">
        <x:v>501</x:v>
      </x:c>
      <x:c r="D134" s="32" t="s">
        <x:v>622</x:v>
      </x:c>
    </x:row>
    <x:row r="135" ht="186" hidden="0" customHeight="1">
      <x:c r="B135" s="31" t="s">
        <x:v>96</x:v>
      </x:c>
      <x:c r="C135" s="31" t="s">
        <x:v>503</x:v>
      </x:c>
      <x:c r="D135" s="31" t="s">
        <x:v>629</x:v>
      </x:c>
    </x:row>
    <x:row r="136" ht="157.5" hidden="0" customHeight="1">
      <x:c r="B136" s="32" t="s">
        <x:v>96</x:v>
      </x:c>
      <x:c r="C136" s="32" t="s">
        <x:v>505</x:v>
      </x:c>
      <x:c r="D136" s="32" t="s">
        <x:v>630</x:v>
      </x:c>
    </x:row>
    <x:row r="137" ht="157.5" hidden="0" customHeight="1">
      <x:c r="B137" s="32" t="s">
        <x:v>96</x:v>
      </x:c>
      <x:c r="C137" s="32" t="s">
        <x:v>507</x:v>
      </x:c>
      <x:c r="D137" s="32" t="s">
        <x:v>631</x:v>
      </x:c>
    </x:row>
    <x:row r="138" ht="90" hidden="0" customHeight="1">
      <x:c r="B138" s="32" t="s">
        <x:v>96</x:v>
      </x:c>
      <x:c r="C138" s="32" t="s">
        <x:v>517</x:v>
      </x:c>
      <x:c r="D138" s="32" t="s">
        <x:v>632</x:v>
      </x:c>
    </x:row>
    <x:row r="139" ht="57.75" hidden="0" customHeight="1">
      <x:c r="B139" s="31" t="s">
        <x:v>96</x:v>
      </x:c>
      <x:c r="C139" s="31" t="s">
        <x:v>509</x:v>
      </x:c>
      <x:c r="D139" s="31" t="s">
        <x:v>633</x:v>
      </x:c>
    </x:row>
    <x:row r="140" ht="43.5" hidden="0" customHeight="1">
      <x:c r="B140" s="30" t="s">
        <x:v>100</x:v>
      </x:c>
      <x:c r="C140" s="30" t="s">
        <x:v>497</x:v>
      </x:c>
      <x:c r="D140" s="30" t="s">
        <x:v>634</x:v>
      </x:c>
    </x:row>
    <x:row r="141" ht="114.75" hidden="0" customHeight="1">
      <x:c r="B141" s="31" t="s">
        <x:v>100</x:v>
      </x:c>
      <x:c r="C141" s="31" t="s">
        <x:v>499</x:v>
      </x:c>
      <x:c r="D141" s="31" t="s">
        <x:v>635</x:v>
      </x:c>
    </x:row>
    <x:row r="142" ht="57.75" hidden="0" customHeight="1">
      <x:c r="B142" s="32" t="s">
        <x:v>100</x:v>
      </x:c>
      <x:c r="C142" s="32" t="s">
        <x:v>501</x:v>
      </x:c>
      <x:c r="D142" s="32" t="s">
        <x:v>622</x:v>
      </x:c>
    </x:row>
    <x:row r="143" ht="186" hidden="0" customHeight="1">
      <x:c r="B143" s="31" t="s">
        <x:v>100</x:v>
      </x:c>
      <x:c r="C143" s="31" t="s">
        <x:v>503</x:v>
      </x:c>
      <x:c r="D143" s="31" t="s">
        <x:v>636</x:v>
      </x:c>
    </x:row>
    <x:row r="144" ht="129" hidden="0" customHeight="1">
      <x:c r="B144" s="32" t="s">
        <x:v>100</x:v>
      </x:c>
      <x:c r="C144" s="32" t="s">
        <x:v>505</x:v>
      </x:c>
      <x:c r="D144" s="32" t="s">
        <x:v>637</x:v>
      </x:c>
    </x:row>
    <x:row r="145" ht="129" hidden="0" customHeight="1">
      <x:c r="B145" s="32" t="s">
        <x:v>100</x:v>
      </x:c>
      <x:c r="C145" s="32" t="s">
        <x:v>507</x:v>
      </x:c>
      <x:c r="D145" s="32" t="s">
        <x:v>638</x:v>
      </x:c>
    </x:row>
    <x:row r="146" ht="43.5" hidden="0" customHeight="1">
      <x:c r="B146" s="31" t="s">
        <x:v>100</x:v>
      </x:c>
      <x:c r="C146" s="31" t="s">
        <x:v>509</x:v>
      </x:c>
      <x:c r="D146" s="31" t="s">
        <x:v>639</x:v>
      </x:c>
    </x:row>
    <x:row r="147" ht="34.5" hidden="0" customHeight="1">
      <x:c r="B147" s="30" t="s">
        <x:v>103</x:v>
      </x:c>
      <x:c r="C147" s="30" t="s">
        <x:v>497</x:v>
      </x:c>
      <x:c r="D147" s="30" t="s">
        <x:v>104</x:v>
      </x:c>
    </x:row>
    <x:row r="148" ht="57.75" hidden="0" customHeight="1">
      <x:c r="B148" s="31" t="s">
        <x:v>103</x:v>
      </x:c>
      <x:c r="C148" s="31" t="s">
        <x:v>499</x:v>
      </x:c>
      <x:c r="D148" s="31" t="s">
        <x:v>640</x:v>
      </x:c>
    </x:row>
    <x:row r="149" ht="57.75" hidden="0" customHeight="1">
      <x:c r="B149" s="32" t="s">
        <x:v>103</x:v>
      </x:c>
      <x:c r="C149" s="32" t="s">
        <x:v>501</x:v>
      </x:c>
      <x:c r="D149" s="32" t="s">
        <x:v>622</x:v>
      </x:c>
    </x:row>
    <x:row r="150" ht="129" hidden="0" customHeight="1">
      <x:c r="B150" s="31" t="s">
        <x:v>103</x:v>
      </x:c>
      <x:c r="C150" s="31" t="s">
        <x:v>503</x:v>
      </x:c>
      <x:c r="D150" s="31" t="s">
        <x:v>641</x:v>
      </x:c>
    </x:row>
    <x:row r="151" ht="72" hidden="0" customHeight="1">
      <x:c r="B151" s="32" t="s">
        <x:v>103</x:v>
      </x:c>
      <x:c r="C151" s="32" t="s">
        <x:v>505</x:v>
      </x:c>
      <x:c r="D151" s="32" t="s">
        <x:v>642</x:v>
      </x:c>
    </x:row>
    <x:row r="152" ht="72" hidden="0" customHeight="1">
      <x:c r="B152" s="32" t="s">
        <x:v>103</x:v>
      </x:c>
      <x:c r="C152" s="32" t="s">
        <x:v>507</x:v>
      </x:c>
      <x:c r="D152" s="32" t="s">
        <x:v>643</x:v>
      </x:c>
    </x:row>
    <x:row r="153" ht="43.5" hidden="0" customHeight="1">
      <x:c r="B153" s="31" t="s">
        <x:v>103</x:v>
      </x:c>
      <x:c r="C153" s="31" t="s">
        <x:v>509</x:v>
      </x:c>
      <x:c r="D153" s="31" t="s">
        <x:v>644</x:v>
      </x:c>
    </x:row>
    <x:row r="154" ht="34.5" hidden="0" customHeight="1">
      <x:c r="B154" s="30" t="s">
        <x:v>107</x:v>
      </x:c>
      <x:c r="C154" s="30" t="s">
        <x:v>497</x:v>
      </x:c>
      <x:c r="D154" s="30" t="s">
        <x:v>645</x:v>
      </x:c>
    </x:row>
    <x:row r="155" ht="114.75" hidden="0" customHeight="1">
      <x:c r="B155" s="31" t="s">
        <x:v>107</x:v>
      </x:c>
      <x:c r="C155" s="31" t="s">
        <x:v>499</x:v>
      </x:c>
      <x:c r="D155" s="31" t="s">
        <x:v>646</x:v>
      </x:c>
    </x:row>
    <x:row r="156" ht="43.5" hidden="0" customHeight="1">
      <x:c r="B156" s="32" t="s">
        <x:v>107</x:v>
      </x:c>
      <x:c r="C156" s="32" t="s">
        <x:v>501</x:v>
      </x:c>
      <x:c r="D156" s="32" t="s">
        <x:v>647</x:v>
      </x:c>
    </x:row>
    <x:row r="157" ht="157.5" hidden="0" customHeight="1">
      <x:c r="B157" s="31" t="s">
        <x:v>107</x:v>
      </x:c>
      <x:c r="C157" s="31" t="s">
        <x:v>503</x:v>
      </x:c>
      <x:c r="D157" s="31" t="s">
        <x:v>648</x:v>
      </x:c>
    </x:row>
    <x:row r="158" ht="100.5" hidden="0" customHeight="1">
      <x:c r="B158" s="32" t="s">
        <x:v>107</x:v>
      </x:c>
      <x:c r="C158" s="32" t="s">
        <x:v>505</x:v>
      </x:c>
      <x:c r="D158" s="32" t="s">
        <x:v>649</x:v>
      </x:c>
    </x:row>
    <x:row r="159" ht="100.5" hidden="0" customHeight="1">
      <x:c r="B159" s="32" t="s">
        <x:v>107</x:v>
      </x:c>
      <x:c r="C159" s="32" t="s">
        <x:v>507</x:v>
      </x:c>
      <x:c r="D159" s="32" t="s">
        <x:v>650</x:v>
      </x:c>
    </x:row>
    <x:row r="160" ht="43.5" hidden="0" customHeight="1">
      <x:c r="B160" s="31" t="s">
        <x:v>107</x:v>
      </x:c>
      <x:c r="C160" s="31" t="s">
        <x:v>509</x:v>
      </x:c>
      <x:c r="D160" s="31" t="s">
        <x:v>626</x:v>
      </x:c>
    </x:row>
    <x:row r="161" ht="43.5" hidden="0" customHeight="1">
      <x:c r="B161" s="30" t="s">
        <x:v>110</x:v>
      </x:c>
      <x:c r="C161" s="30" t="s">
        <x:v>497</x:v>
      </x:c>
      <x:c r="D161" s="30" t="s">
        <x:v>651</x:v>
      </x:c>
    </x:row>
    <x:row r="162" ht="100.5" hidden="0" customHeight="1">
      <x:c r="B162" s="31" t="s">
        <x:v>110</x:v>
      </x:c>
      <x:c r="C162" s="31" t="s">
        <x:v>499</x:v>
      </x:c>
      <x:c r="D162" s="31" t="s">
        <x:v>652</x:v>
      </x:c>
    </x:row>
    <x:row r="163" ht="43.5" hidden="0" customHeight="1">
      <x:c r="B163" s="32" t="s">
        <x:v>110</x:v>
      </x:c>
      <x:c r="C163" s="32" t="s">
        <x:v>501</x:v>
      </x:c>
      <x:c r="D163" s="32" t="s">
        <x:v>647</x:v>
      </x:c>
    </x:row>
    <x:row r="164" ht="171.75" hidden="0" customHeight="1">
      <x:c r="B164" s="31" t="s">
        <x:v>110</x:v>
      </x:c>
      <x:c r="C164" s="31" t="s">
        <x:v>503</x:v>
      </x:c>
      <x:c r="D164" s="31" t="s">
        <x:v>653</x:v>
      </x:c>
    </x:row>
    <x:row r="165" ht="143.25" hidden="0" customHeight="1">
      <x:c r="B165" s="32" t="s">
        <x:v>110</x:v>
      </x:c>
      <x:c r="C165" s="32" t="s">
        <x:v>505</x:v>
      </x:c>
      <x:c r="D165" s="32" t="s">
        <x:v>654</x:v>
      </x:c>
    </x:row>
    <x:row r="166" ht="143.25" hidden="0" customHeight="1">
      <x:c r="B166" s="32" t="s">
        <x:v>110</x:v>
      </x:c>
      <x:c r="C166" s="32" t="s">
        <x:v>507</x:v>
      </x:c>
      <x:c r="D166" s="32" t="s">
        <x:v>655</x:v>
      </x:c>
    </x:row>
    <x:row r="167" ht="90" hidden="0" customHeight="1">
      <x:c r="B167" s="32" t="s">
        <x:v>110</x:v>
      </x:c>
      <x:c r="C167" s="32" t="s">
        <x:v>517</x:v>
      </x:c>
      <x:c r="D167" s="32" t="s">
        <x:v>656</x:v>
      </x:c>
    </x:row>
    <x:row r="168" ht="57.75" hidden="0" customHeight="1">
      <x:c r="B168" s="31" t="s">
        <x:v>110</x:v>
      </x:c>
      <x:c r="C168" s="31" t="s">
        <x:v>509</x:v>
      </x:c>
      <x:c r="D168" s="31" t="s">
        <x:v>633</x:v>
      </x:c>
    </x:row>
    <x:row r="169" ht="43.5" hidden="0" customHeight="1">
      <x:c r="B169" s="30" t="s">
        <x:v>113</x:v>
      </x:c>
      <x:c r="C169" s="30" t="s">
        <x:v>497</x:v>
      </x:c>
      <x:c r="D169" s="30" t="s">
        <x:v>657</x:v>
      </x:c>
    </x:row>
    <x:row r="170" ht="129" hidden="0" customHeight="1">
      <x:c r="B170" s="31" t="s">
        <x:v>113</x:v>
      </x:c>
      <x:c r="C170" s="31" t="s">
        <x:v>499</x:v>
      </x:c>
      <x:c r="D170" s="31" t="s">
        <x:v>658</x:v>
      </x:c>
    </x:row>
    <x:row r="171" ht="43.5" hidden="0" customHeight="1">
      <x:c r="B171" s="32" t="s">
        <x:v>113</x:v>
      </x:c>
      <x:c r="C171" s="32" t="s">
        <x:v>501</x:v>
      </x:c>
      <x:c r="D171" s="32" t="s">
        <x:v>647</x:v>
      </x:c>
    </x:row>
    <x:row r="172" ht="186" hidden="0" customHeight="1">
      <x:c r="B172" s="31" t="s">
        <x:v>113</x:v>
      </x:c>
      <x:c r="C172" s="31" t="s">
        <x:v>503</x:v>
      </x:c>
      <x:c r="D172" s="31" t="s">
        <x:v>659</x:v>
      </x:c>
    </x:row>
    <x:row r="173" ht="129" hidden="0" customHeight="1">
      <x:c r="B173" s="32" t="s">
        <x:v>113</x:v>
      </x:c>
      <x:c r="C173" s="32" t="s">
        <x:v>505</x:v>
      </x:c>
      <x:c r="D173" s="32" t="s">
        <x:v>660</x:v>
      </x:c>
    </x:row>
    <x:row r="174" ht="129" hidden="0" customHeight="1">
      <x:c r="B174" s="32" t="s">
        <x:v>113</x:v>
      </x:c>
      <x:c r="C174" s="32" t="s">
        <x:v>507</x:v>
      </x:c>
      <x:c r="D174" s="32" t="s">
        <x:v>661</x:v>
      </x:c>
    </x:row>
    <x:row r="175" ht="43.5" hidden="0" customHeight="1">
      <x:c r="B175" s="31" t="s">
        <x:v>113</x:v>
      </x:c>
      <x:c r="C175" s="31" t="s">
        <x:v>509</x:v>
      </x:c>
      <x:c r="D175" s="31" t="s">
        <x:v>639</x:v>
      </x:c>
    </x:row>
    <x:row r="176" ht="34.5" hidden="0" customHeight="1">
      <x:c r="B176" s="30" t="s">
        <x:v>116</x:v>
      </x:c>
      <x:c r="C176" s="30" t="s">
        <x:v>497</x:v>
      </x:c>
      <x:c r="D176" s="30" t="s">
        <x:v>662</x:v>
      </x:c>
    </x:row>
    <x:row r="177" ht="57.75" hidden="0" customHeight="1">
      <x:c r="B177" s="31" t="s">
        <x:v>116</x:v>
      </x:c>
      <x:c r="C177" s="31" t="s">
        <x:v>499</x:v>
      </x:c>
      <x:c r="D177" s="31" t="s">
        <x:v>663</x:v>
      </x:c>
    </x:row>
    <x:row r="178" ht="43.5" hidden="0" customHeight="1">
      <x:c r="B178" s="32" t="s">
        <x:v>116</x:v>
      </x:c>
      <x:c r="C178" s="32" t="s">
        <x:v>501</x:v>
      </x:c>
      <x:c r="D178" s="32" t="s">
        <x:v>647</x:v>
      </x:c>
    </x:row>
    <x:row r="179" ht="129" hidden="0" customHeight="1">
      <x:c r="B179" s="31" t="s">
        <x:v>116</x:v>
      </x:c>
      <x:c r="C179" s="31" t="s">
        <x:v>503</x:v>
      </x:c>
      <x:c r="D179" s="31" t="s">
        <x:v>664</x:v>
      </x:c>
    </x:row>
    <x:row r="180" ht="72" hidden="0" customHeight="1">
      <x:c r="B180" s="32" t="s">
        <x:v>116</x:v>
      </x:c>
      <x:c r="C180" s="32" t="s">
        <x:v>505</x:v>
      </x:c>
      <x:c r="D180" s="32" t="s">
        <x:v>665</x:v>
      </x:c>
    </x:row>
    <x:row r="181" ht="72" hidden="0" customHeight="1">
      <x:c r="B181" s="32" t="s">
        <x:v>116</x:v>
      </x:c>
      <x:c r="C181" s="32" t="s">
        <x:v>507</x:v>
      </x:c>
      <x:c r="D181" s="32" t="s">
        <x:v>666</x:v>
      </x:c>
    </x:row>
    <x:row r="182" ht="43.5" hidden="0" customHeight="1">
      <x:c r="B182" s="31" t="s">
        <x:v>116</x:v>
      </x:c>
      <x:c r="C182" s="31" t="s">
        <x:v>509</x:v>
      </x:c>
      <x:c r="D182" s="31" t="s">
        <x:v>644</x:v>
      </x:c>
    </x:row>
    <x:row r="183" ht="34.5" hidden="0" customHeight="1">
      <x:c r="B183" s="30" t="s">
        <x:v>118</x:v>
      </x:c>
      <x:c r="C183" s="30" t="s">
        <x:v>497</x:v>
      </x:c>
      <x:c r="D183" s="30" t="s">
        <x:v>667</x:v>
      </x:c>
    </x:row>
    <x:row r="184" ht="129" hidden="0" customHeight="1">
      <x:c r="B184" s="31" t="s">
        <x:v>118</x:v>
      </x:c>
      <x:c r="C184" s="31" t="s">
        <x:v>499</x:v>
      </x:c>
      <x:c r="D184" s="31" t="s">
        <x:v>668</x:v>
      </x:c>
    </x:row>
    <x:row r="185" ht="57.75" hidden="0" customHeight="1">
      <x:c r="B185" s="32" t="s">
        <x:v>118</x:v>
      </x:c>
      <x:c r="C185" s="32" t="s">
        <x:v>501</x:v>
      </x:c>
      <x:c r="D185" s="32" t="s">
        <x:v>669</x:v>
      </x:c>
    </x:row>
    <x:row r="186" ht="171.75" hidden="0" customHeight="1">
      <x:c r="B186" s="31" t="s">
        <x:v>118</x:v>
      </x:c>
      <x:c r="C186" s="31" t="s">
        <x:v>503</x:v>
      </x:c>
      <x:c r="D186" s="31" t="s">
        <x:v>670</x:v>
      </x:c>
    </x:row>
    <x:row r="187" ht="100.5" hidden="0" customHeight="1">
      <x:c r="B187" s="32" t="s">
        <x:v>118</x:v>
      </x:c>
      <x:c r="C187" s="32" t="s">
        <x:v>505</x:v>
      </x:c>
      <x:c r="D187" s="32" t="s">
        <x:v>671</x:v>
      </x:c>
    </x:row>
    <x:row r="188" ht="100.5" hidden="0" customHeight="1">
      <x:c r="B188" s="32" t="s">
        <x:v>118</x:v>
      </x:c>
      <x:c r="C188" s="32" t="s">
        <x:v>507</x:v>
      </x:c>
      <x:c r="D188" s="32" t="s">
        <x:v>672</x:v>
      </x:c>
    </x:row>
    <x:row r="189" ht="43.5" hidden="0" customHeight="1">
      <x:c r="B189" s="31" t="s">
        <x:v>118</x:v>
      </x:c>
      <x:c r="C189" s="31" t="s">
        <x:v>509</x:v>
      </x:c>
      <x:c r="D189" s="31" t="s">
        <x:v>626</x:v>
      </x:c>
    </x:row>
    <x:row r="190" ht="43.5" hidden="0" customHeight="1">
      <x:c r="B190" s="30" t="s">
        <x:v>120</x:v>
      </x:c>
      <x:c r="C190" s="30" t="s">
        <x:v>497</x:v>
      </x:c>
      <x:c r="D190" s="30" t="s">
        <x:v>673</x:v>
      </x:c>
    </x:row>
    <x:row r="191" ht="114.75" hidden="0" customHeight="1">
      <x:c r="B191" s="31" t="s">
        <x:v>120</x:v>
      </x:c>
      <x:c r="C191" s="31" t="s">
        <x:v>499</x:v>
      </x:c>
      <x:c r="D191" s="31" t="s">
        <x:v>674</x:v>
      </x:c>
    </x:row>
    <x:row r="192" ht="57.75" hidden="0" customHeight="1">
      <x:c r="B192" s="32" t="s">
        <x:v>120</x:v>
      </x:c>
      <x:c r="C192" s="32" t="s">
        <x:v>501</x:v>
      </x:c>
      <x:c r="D192" s="32" t="s">
        <x:v>669</x:v>
      </x:c>
    </x:row>
    <x:row r="193" ht="186" hidden="0" customHeight="1">
      <x:c r="B193" s="31" t="s">
        <x:v>120</x:v>
      </x:c>
      <x:c r="C193" s="31" t="s">
        <x:v>503</x:v>
      </x:c>
      <x:c r="D193" s="31" t="s">
        <x:v>675</x:v>
      </x:c>
    </x:row>
    <x:row r="194" ht="157.5" hidden="0" customHeight="1">
      <x:c r="B194" s="32" t="s">
        <x:v>120</x:v>
      </x:c>
      <x:c r="C194" s="32" t="s">
        <x:v>505</x:v>
      </x:c>
      <x:c r="D194" s="32" t="s">
        <x:v>676</x:v>
      </x:c>
    </x:row>
    <x:row r="195" ht="157.5" hidden="0" customHeight="1">
      <x:c r="B195" s="32" t="s">
        <x:v>120</x:v>
      </x:c>
      <x:c r="C195" s="32" t="s">
        <x:v>507</x:v>
      </x:c>
      <x:c r="D195" s="32" t="s">
        <x:v>677</x:v>
      </x:c>
    </x:row>
    <x:row r="196" ht="90" hidden="0" customHeight="1">
      <x:c r="B196" s="32" t="s">
        <x:v>120</x:v>
      </x:c>
      <x:c r="C196" s="32" t="s">
        <x:v>517</x:v>
      </x:c>
      <x:c r="D196" s="32" t="s">
        <x:v>678</x:v>
      </x:c>
    </x:row>
    <x:row r="197" ht="57.75" hidden="0" customHeight="1">
      <x:c r="B197" s="31" t="s">
        <x:v>120</x:v>
      </x:c>
      <x:c r="C197" s="31" t="s">
        <x:v>509</x:v>
      </x:c>
      <x:c r="D197" s="31" t="s">
        <x:v>633</x:v>
      </x:c>
    </x:row>
    <x:row r="198" ht="43.5" hidden="0" customHeight="1">
      <x:c r="B198" s="30" t="s">
        <x:v>122</x:v>
      </x:c>
      <x:c r="C198" s="30" t="s">
        <x:v>497</x:v>
      </x:c>
      <x:c r="D198" s="30" t="s">
        <x:v>679</x:v>
      </x:c>
    </x:row>
    <x:row r="199" ht="114.75" hidden="0" customHeight="1">
      <x:c r="B199" s="31" t="s">
        <x:v>122</x:v>
      </x:c>
      <x:c r="C199" s="31" t="s">
        <x:v>499</x:v>
      </x:c>
      <x:c r="D199" s="31" t="s">
        <x:v>680</x:v>
      </x:c>
    </x:row>
    <x:row r="200" ht="57.75" hidden="0" customHeight="1">
      <x:c r="B200" s="32" t="s">
        <x:v>122</x:v>
      </x:c>
      <x:c r="C200" s="32" t="s">
        <x:v>501</x:v>
      </x:c>
      <x:c r="D200" s="32" t="s">
        <x:v>669</x:v>
      </x:c>
    </x:row>
    <x:row r="201" ht="186" hidden="0" customHeight="1">
      <x:c r="B201" s="31" t="s">
        <x:v>122</x:v>
      </x:c>
      <x:c r="C201" s="31" t="s">
        <x:v>503</x:v>
      </x:c>
      <x:c r="D201" s="31" t="s">
        <x:v>681</x:v>
      </x:c>
    </x:row>
    <x:row r="202" ht="129" hidden="0" customHeight="1">
      <x:c r="B202" s="32" t="s">
        <x:v>122</x:v>
      </x:c>
      <x:c r="C202" s="32" t="s">
        <x:v>505</x:v>
      </x:c>
      <x:c r="D202" s="32" t="s">
        <x:v>682</x:v>
      </x:c>
    </x:row>
    <x:row r="203" ht="129" hidden="0" customHeight="1">
      <x:c r="B203" s="32" t="s">
        <x:v>122</x:v>
      </x:c>
      <x:c r="C203" s="32" t="s">
        <x:v>507</x:v>
      </x:c>
      <x:c r="D203" s="32" t="s">
        <x:v>683</x:v>
      </x:c>
    </x:row>
    <x:row r="204" ht="43.5" hidden="0" customHeight="1">
      <x:c r="B204" s="31" t="s">
        <x:v>122</x:v>
      </x:c>
      <x:c r="C204" s="31" t="s">
        <x:v>509</x:v>
      </x:c>
      <x:c r="D204" s="31" t="s">
        <x:v>639</x:v>
      </x:c>
    </x:row>
    <x:row r="205" ht="34.5" hidden="0" customHeight="1">
      <x:c r="B205" s="30" t="s">
        <x:v>124</x:v>
      </x:c>
      <x:c r="C205" s="30" t="s">
        <x:v>497</x:v>
      </x:c>
      <x:c r="D205" s="30" t="s">
        <x:v>684</x:v>
      </x:c>
    </x:row>
    <x:row r="206" ht="57.75" hidden="0" customHeight="1">
      <x:c r="B206" s="31" t="s">
        <x:v>124</x:v>
      </x:c>
      <x:c r="C206" s="31" t="s">
        <x:v>499</x:v>
      </x:c>
      <x:c r="D206" s="31" t="s">
        <x:v>685</x:v>
      </x:c>
    </x:row>
    <x:row r="207" ht="57.75" hidden="0" customHeight="1">
      <x:c r="B207" s="32" t="s">
        <x:v>124</x:v>
      </x:c>
      <x:c r="C207" s="32" t="s">
        <x:v>501</x:v>
      </x:c>
      <x:c r="D207" s="32" t="s">
        <x:v>669</x:v>
      </x:c>
    </x:row>
    <x:row r="208" ht="129" hidden="0" customHeight="1">
      <x:c r="B208" s="31" t="s">
        <x:v>124</x:v>
      </x:c>
      <x:c r="C208" s="31" t="s">
        <x:v>503</x:v>
      </x:c>
      <x:c r="D208" s="31" t="s">
        <x:v>686</x:v>
      </x:c>
    </x:row>
    <x:row r="209" ht="72" hidden="0" customHeight="1">
      <x:c r="B209" s="32" t="s">
        <x:v>124</x:v>
      </x:c>
      <x:c r="C209" s="32" t="s">
        <x:v>505</x:v>
      </x:c>
      <x:c r="D209" s="32" t="s">
        <x:v>687</x:v>
      </x:c>
    </x:row>
    <x:row r="210" ht="72" hidden="0" customHeight="1">
      <x:c r="B210" s="32" t="s">
        <x:v>124</x:v>
      </x:c>
      <x:c r="C210" s="32" t="s">
        <x:v>507</x:v>
      </x:c>
      <x:c r="D210" s="32" t="s">
        <x:v>688</x:v>
      </x:c>
    </x:row>
    <x:row r="211" ht="43.5" hidden="0" customHeight="1">
      <x:c r="B211" s="31" t="s">
        <x:v>124</x:v>
      </x:c>
      <x:c r="C211" s="31" t="s">
        <x:v>509</x:v>
      </x:c>
      <x:c r="D211" s="31" t="s">
        <x:v>644</x:v>
      </x:c>
    </x:row>
    <x:row r="212" ht="34.5" hidden="0" customHeight="1">
      <x:c r="B212" s="30" t="s">
        <x:v>126</x:v>
      </x:c>
      <x:c r="C212" s="30" t="s">
        <x:v>497</x:v>
      </x:c>
      <x:c r="D212" s="30" t="s">
        <x:v>689</x:v>
      </x:c>
    </x:row>
    <x:row r="213" ht="114.75" hidden="0" customHeight="1">
      <x:c r="B213" s="31" t="s">
        <x:v>126</x:v>
      </x:c>
      <x:c r="C213" s="31" t="s">
        <x:v>499</x:v>
      </x:c>
      <x:c r="D213" s="31" t="s">
        <x:v>690</x:v>
      </x:c>
    </x:row>
    <x:row r="214" ht="57.75" hidden="0" customHeight="1">
      <x:c r="B214" s="32" t="s">
        <x:v>126</x:v>
      </x:c>
      <x:c r="C214" s="32" t="s">
        <x:v>501</x:v>
      </x:c>
      <x:c r="D214" s="32" t="s">
        <x:v>691</x:v>
      </x:c>
    </x:row>
    <x:row r="215" ht="157.5" hidden="0" customHeight="1">
      <x:c r="B215" s="31" t="s">
        <x:v>126</x:v>
      </x:c>
      <x:c r="C215" s="31" t="s">
        <x:v>503</x:v>
      </x:c>
      <x:c r="D215" s="31" t="s">
        <x:v>692</x:v>
      </x:c>
    </x:row>
    <x:row r="216" ht="100.5" hidden="0" customHeight="1">
      <x:c r="B216" s="32" t="s">
        <x:v>126</x:v>
      </x:c>
      <x:c r="C216" s="32" t="s">
        <x:v>505</x:v>
      </x:c>
      <x:c r="D216" s="32" t="s">
        <x:v>693</x:v>
      </x:c>
    </x:row>
    <x:row r="217" ht="100.5" hidden="0" customHeight="1">
      <x:c r="B217" s="32" t="s">
        <x:v>126</x:v>
      </x:c>
      <x:c r="C217" s="32" t="s">
        <x:v>507</x:v>
      </x:c>
      <x:c r="D217" s="32" t="s">
        <x:v>694</x:v>
      </x:c>
    </x:row>
    <x:row r="218" ht="43.5" hidden="0" customHeight="1">
      <x:c r="B218" s="31" t="s">
        <x:v>126</x:v>
      </x:c>
      <x:c r="C218" s="31" t="s">
        <x:v>509</x:v>
      </x:c>
      <x:c r="D218" s="31" t="s">
        <x:v>626</x:v>
      </x:c>
    </x:row>
    <x:row r="219" ht="43.5" hidden="0" customHeight="1">
      <x:c r="B219" s="30" t="s">
        <x:v>129</x:v>
      </x:c>
      <x:c r="C219" s="30" t="s">
        <x:v>497</x:v>
      </x:c>
      <x:c r="D219" s="30" t="s">
        <x:v>695</x:v>
      </x:c>
    </x:row>
    <x:row r="220" ht="100.5" hidden="0" customHeight="1">
      <x:c r="B220" s="31" t="s">
        <x:v>129</x:v>
      </x:c>
      <x:c r="C220" s="31" t="s">
        <x:v>499</x:v>
      </x:c>
      <x:c r="D220" s="31" t="s">
        <x:v>696</x:v>
      </x:c>
    </x:row>
    <x:row r="221" ht="57.75" hidden="0" customHeight="1">
      <x:c r="B221" s="32" t="s">
        <x:v>129</x:v>
      </x:c>
      <x:c r="C221" s="32" t="s">
        <x:v>501</x:v>
      </x:c>
      <x:c r="D221" s="32" t="s">
        <x:v>691</x:v>
      </x:c>
    </x:row>
    <x:row r="222" ht="171.75" hidden="0" customHeight="1">
      <x:c r="B222" s="31" t="s">
        <x:v>129</x:v>
      </x:c>
      <x:c r="C222" s="31" t="s">
        <x:v>503</x:v>
      </x:c>
      <x:c r="D222" s="31" t="s">
        <x:v>697</x:v>
      </x:c>
    </x:row>
    <x:row r="223" ht="143.25" hidden="0" customHeight="1">
      <x:c r="B223" s="32" t="s">
        <x:v>129</x:v>
      </x:c>
      <x:c r="C223" s="32" t="s">
        <x:v>505</x:v>
      </x:c>
      <x:c r="D223" s="32" t="s">
        <x:v>698</x:v>
      </x:c>
    </x:row>
    <x:row r="224" ht="143.25" hidden="0" customHeight="1">
      <x:c r="B224" s="32" t="s">
        <x:v>129</x:v>
      </x:c>
      <x:c r="C224" s="32" t="s">
        <x:v>507</x:v>
      </x:c>
      <x:c r="D224" s="32" t="s">
        <x:v>699</x:v>
      </x:c>
    </x:row>
    <x:row r="225" ht="90" hidden="0" customHeight="1">
      <x:c r="B225" s="32" t="s">
        <x:v>129</x:v>
      </x:c>
      <x:c r="C225" s="32" t="s">
        <x:v>517</x:v>
      </x:c>
      <x:c r="D225" s="32" t="s">
        <x:v>700</x:v>
      </x:c>
    </x:row>
    <x:row r="226" ht="57.75" hidden="0" customHeight="1">
      <x:c r="B226" s="31" t="s">
        <x:v>129</x:v>
      </x:c>
      <x:c r="C226" s="31" t="s">
        <x:v>509</x:v>
      </x:c>
      <x:c r="D226" s="31" t="s">
        <x:v>633</x:v>
      </x:c>
    </x:row>
    <x:row r="227" ht="43.5" hidden="0" customHeight="1">
      <x:c r="B227" s="30" t="s">
        <x:v>131</x:v>
      </x:c>
      <x:c r="C227" s="30" t="s">
        <x:v>497</x:v>
      </x:c>
      <x:c r="D227" s="30" t="s">
        <x:v>701</x:v>
      </x:c>
    </x:row>
    <x:row r="228" ht="114.75" hidden="0" customHeight="1">
      <x:c r="B228" s="31" t="s">
        <x:v>131</x:v>
      </x:c>
      <x:c r="C228" s="31" t="s">
        <x:v>499</x:v>
      </x:c>
      <x:c r="D228" s="31" t="s">
        <x:v>702</x:v>
      </x:c>
    </x:row>
    <x:row r="229" ht="57.75" hidden="0" customHeight="1">
      <x:c r="B229" s="32" t="s">
        <x:v>131</x:v>
      </x:c>
      <x:c r="C229" s="32" t="s">
        <x:v>501</x:v>
      </x:c>
      <x:c r="D229" s="32" t="s">
        <x:v>691</x:v>
      </x:c>
    </x:row>
    <x:row r="230" ht="186" hidden="0" customHeight="1">
      <x:c r="B230" s="31" t="s">
        <x:v>131</x:v>
      </x:c>
      <x:c r="C230" s="31" t="s">
        <x:v>503</x:v>
      </x:c>
      <x:c r="D230" s="31" t="s">
        <x:v>703</x:v>
      </x:c>
    </x:row>
    <x:row r="231" ht="129" hidden="0" customHeight="1">
      <x:c r="B231" s="32" t="s">
        <x:v>131</x:v>
      </x:c>
      <x:c r="C231" s="32" t="s">
        <x:v>505</x:v>
      </x:c>
      <x:c r="D231" s="32" t="s">
        <x:v>704</x:v>
      </x:c>
    </x:row>
    <x:row r="232" ht="129" hidden="0" customHeight="1">
      <x:c r="B232" s="32" t="s">
        <x:v>131</x:v>
      </x:c>
      <x:c r="C232" s="32" t="s">
        <x:v>507</x:v>
      </x:c>
      <x:c r="D232" s="32" t="s">
        <x:v>705</x:v>
      </x:c>
    </x:row>
    <x:row r="233" ht="43.5" hidden="0" customHeight="1">
      <x:c r="B233" s="31" t="s">
        <x:v>131</x:v>
      </x:c>
      <x:c r="C233" s="31" t="s">
        <x:v>509</x:v>
      </x:c>
      <x:c r="D233" s="31" t="s">
        <x:v>639</x:v>
      </x:c>
    </x:row>
    <x:row r="234" ht="43.5" hidden="0" customHeight="1">
      <x:c r="B234" s="30" t="s">
        <x:v>134</x:v>
      </x:c>
      <x:c r="C234" s="30" t="s">
        <x:v>497</x:v>
      </x:c>
      <x:c r="D234" s="30" t="s">
        <x:v>706</x:v>
      </x:c>
    </x:row>
    <x:row r="235" ht="72" hidden="0" customHeight="1">
      <x:c r="B235" s="31" t="s">
        <x:v>134</x:v>
      </x:c>
      <x:c r="C235" s="31" t="s">
        <x:v>499</x:v>
      </x:c>
      <x:c r="D235" s="31" t="s">
        <x:v>707</x:v>
      </x:c>
    </x:row>
    <x:row r="236" ht="57.75" hidden="0" customHeight="1">
      <x:c r="B236" s="32" t="s">
        <x:v>134</x:v>
      </x:c>
      <x:c r="C236" s="32" t="s">
        <x:v>501</x:v>
      </x:c>
      <x:c r="D236" s="32" t="s">
        <x:v>691</x:v>
      </x:c>
    </x:row>
    <x:row r="237" ht="129" hidden="0" customHeight="1">
      <x:c r="B237" s="31" t="s">
        <x:v>134</x:v>
      </x:c>
      <x:c r="C237" s="31" t="s">
        <x:v>503</x:v>
      </x:c>
      <x:c r="D237" s="31" t="s">
        <x:v>708</x:v>
      </x:c>
    </x:row>
    <x:row r="238" ht="72" hidden="0" customHeight="1">
      <x:c r="B238" s="32" t="s">
        <x:v>134</x:v>
      </x:c>
      <x:c r="C238" s="32" t="s">
        <x:v>505</x:v>
      </x:c>
      <x:c r="D238" s="32" t="s">
        <x:v>709</x:v>
      </x:c>
    </x:row>
    <x:row r="239" ht="72" hidden="0" customHeight="1">
      <x:c r="B239" s="32" t="s">
        <x:v>134</x:v>
      </x:c>
      <x:c r="C239" s="32" t="s">
        <x:v>507</x:v>
      </x:c>
      <x:c r="D239" s="32" t="s">
        <x:v>710</x:v>
      </x:c>
    </x:row>
    <x:row r="240" ht="43.5" hidden="0" customHeight="1">
      <x:c r="B240" s="31" t="s">
        <x:v>134</x:v>
      </x:c>
      <x:c r="C240" s="31" t="s">
        <x:v>509</x:v>
      </x:c>
      <x:c r="D240" s="31" t="s">
        <x:v>711</x:v>
      </x:c>
    </x:row>
    <x:row r="241" ht="34.5" hidden="0" customHeight="1">
      <x:c r="B241" s="30" t="s">
        <x:v>137</x:v>
      </x:c>
      <x:c r="C241" s="30" t="s">
        <x:v>497</x:v>
      </x:c>
      <x:c r="D241" s="30" t="s">
        <x:v>138</x:v>
      </x:c>
    </x:row>
    <x:row r="242" ht="114.75" hidden="0" customHeight="1">
      <x:c r="B242" s="31" t="s">
        <x:v>137</x:v>
      </x:c>
      <x:c r="C242" s="31" t="s">
        <x:v>499</x:v>
      </x:c>
      <x:c r="D242" s="31" t="s">
        <x:v>712</x:v>
      </x:c>
    </x:row>
    <x:row r="243" ht="43.5" hidden="0" customHeight="1">
      <x:c r="B243" s="32" t="s">
        <x:v>137</x:v>
      </x:c>
      <x:c r="C243" s="32" t="s">
        <x:v>501</x:v>
      </x:c>
      <x:c r="D243" s="32" t="s">
        <x:v>713</x:v>
      </x:c>
    </x:row>
    <x:row r="244" ht="157.5" hidden="0" customHeight="1">
      <x:c r="B244" s="31" t="s">
        <x:v>137</x:v>
      </x:c>
      <x:c r="C244" s="31" t="s">
        <x:v>503</x:v>
      </x:c>
      <x:c r="D244" s="31" t="s">
        <x:v>714</x:v>
      </x:c>
    </x:row>
    <x:row r="245" ht="100.5" hidden="0" customHeight="1">
      <x:c r="B245" s="32" t="s">
        <x:v>137</x:v>
      </x:c>
      <x:c r="C245" s="32" t="s">
        <x:v>505</x:v>
      </x:c>
      <x:c r="D245" s="32" t="s">
        <x:v>715</x:v>
      </x:c>
    </x:row>
    <x:row r="246" ht="100.5" hidden="0" customHeight="1">
      <x:c r="B246" s="32" t="s">
        <x:v>137</x:v>
      </x:c>
      <x:c r="C246" s="32" t="s">
        <x:v>507</x:v>
      </x:c>
      <x:c r="D246" s="32" t="s">
        <x:v>716</x:v>
      </x:c>
    </x:row>
    <x:row r="247" ht="43.5" hidden="0" customHeight="1">
      <x:c r="B247" s="31" t="s">
        <x:v>137</x:v>
      </x:c>
      <x:c r="C247" s="31" t="s">
        <x:v>509</x:v>
      </x:c>
      <x:c r="D247" s="31" t="s">
        <x:v>626</x:v>
      </x:c>
    </x:row>
    <x:row r="248" ht="43.5" hidden="0" customHeight="1">
      <x:c r="B248" s="30" t="s">
        <x:v>139</x:v>
      </x:c>
      <x:c r="C248" s="30" t="s">
        <x:v>497</x:v>
      </x:c>
      <x:c r="D248" s="30" t="s">
        <x:v>717</x:v>
      </x:c>
    </x:row>
    <x:row r="249" ht="114.75" hidden="0" customHeight="1">
      <x:c r="B249" s="31" t="s">
        <x:v>139</x:v>
      </x:c>
      <x:c r="C249" s="31" t="s">
        <x:v>499</x:v>
      </x:c>
      <x:c r="D249" s="31" t="s">
        <x:v>718</x:v>
      </x:c>
    </x:row>
    <x:row r="250" ht="43.5" hidden="0" customHeight="1">
      <x:c r="B250" s="32" t="s">
        <x:v>139</x:v>
      </x:c>
      <x:c r="C250" s="32" t="s">
        <x:v>501</x:v>
      </x:c>
      <x:c r="D250" s="32" t="s">
        <x:v>713</x:v>
      </x:c>
    </x:row>
    <x:row r="251" ht="186" hidden="0" customHeight="1">
      <x:c r="B251" s="31" t="s">
        <x:v>139</x:v>
      </x:c>
      <x:c r="C251" s="31" t="s">
        <x:v>503</x:v>
      </x:c>
      <x:c r="D251" s="31" t="s">
        <x:v>719</x:v>
      </x:c>
    </x:row>
    <x:row r="252" ht="143.25" hidden="0" customHeight="1">
      <x:c r="B252" s="32" t="s">
        <x:v>139</x:v>
      </x:c>
      <x:c r="C252" s="32" t="s">
        <x:v>505</x:v>
      </x:c>
      <x:c r="D252" s="32" t="s">
        <x:v>720</x:v>
      </x:c>
    </x:row>
    <x:row r="253" ht="143.25" hidden="0" customHeight="1">
      <x:c r="B253" s="32" t="s">
        <x:v>139</x:v>
      </x:c>
      <x:c r="C253" s="32" t="s">
        <x:v>507</x:v>
      </x:c>
      <x:c r="D253" s="32" t="s">
        <x:v>721</x:v>
      </x:c>
    </x:row>
    <x:row r="254" ht="90" hidden="0" customHeight="1">
      <x:c r="B254" s="32" t="s">
        <x:v>139</x:v>
      </x:c>
      <x:c r="C254" s="32" t="s">
        <x:v>517</x:v>
      </x:c>
      <x:c r="D254" s="32" t="s">
        <x:v>722</x:v>
      </x:c>
    </x:row>
    <x:row r="255" ht="57.75" hidden="0" customHeight="1">
      <x:c r="B255" s="31" t="s">
        <x:v>139</x:v>
      </x:c>
      <x:c r="C255" s="31" t="s">
        <x:v>509</x:v>
      </x:c>
      <x:c r="D255" s="31" t="s">
        <x:v>633</x:v>
      </x:c>
    </x:row>
    <x:row r="256" ht="43.5" hidden="0" customHeight="1">
      <x:c r="B256" s="30" t="s">
        <x:v>141</x:v>
      </x:c>
      <x:c r="C256" s="30" t="s">
        <x:v>497</x:v>
      </x:c>
      <x:c r="D256" s="30" t="s">
        <x:v>723</x:v>
      </x:c>
    </x:row>
    <x:row r="257" ht="114.75" hidden="0" customHeight="1">
      <x:c r="B257" s="31" t="s">
        <x:v>141</x:v>
      </x:c>
      <x:c r="C257" s="31" t="s">
        <x:v>499</x:v>
      </x:c>
      <x:c r="D257" s="31" t="s">
        <x:v>724</x:v>
      </x:c>
    </x:row>
    <x:row r="258" ht="43.5" hidden="0" customHeight="1">
      <x:c r="B258" s="32" t="s">
        <x:v>141</x:v>
      </x:c>
      <x:c r="C258" s="32" t="s">
        <x:v>501</x:v>
      </x:c>
      <x:c r="D258" s="32" t="s">
        <x:v>713</x:v>
      </x:c>
    </x:row>
    <x:row r="259" ht="186" hidden="0" customHeight="1">
      <x:c r="B259" s="31" t="s">
        <x:v>141</x:v>
      </x:c>
      <x:c r="C259" s="31" t="s">
        <x:v>503</x:v>
      </x:c>
      <x:c r="D259" s="31" t="s">
        <x:v>725</x:v>
      </x:c>
    </x:row>
    <x:row r="260" ht="129" hidden="0" customHeight="1">
      <x:c r="B260" s="32" t="s">
        <x:v>141</x:v>
      </x:c>
      <x:c r="C260" s="32" t="s">
        <x:v>505</x:v>
      </x:c>
      <x:c r="D260" s="32" t="s">
        <x:v>726</x:v>
      </x:c>
    </x:row>
    <x:row r="261" ht="129" hidden="0" customHeight="1">
      <x:c r="B261" s="32" t="s">
        <x:v>141</x:v>
      </x:c>
      <x:c r="C261" s="32" t="s">
        <x:v>507</x:v>
      </x:c>
      <x:c r="D261" s="32" t="s">
        <x:v>727</x:v>
      </x:c>
    </x:row>
    <x:row r="262" ht="43.5" hidden="0" customHeight="1">
      <x:c r="B262" s="31" t="s">
        <x:v>141</x:v>
      </x:c>
      <x:c r="C262" s="31" t="s">
        <x:v>509</x:v>
      </x:c>
      <x:c r="D262" s="31" t="s">
        <x:v>639</x:v>
      </x:c>
    </x:row>
    <x:row r="263" ht="34.5" hidden="0" customHeight="1">
      <x:c r="B263" s="30" t="s">
        <x:v>143</x:v>
      </x:c>
      <x:c r="C263" s="30" t="s">
        <x:v>497</x:v>
      </x:c>
      <x:c r="D263" s="30" t="s">
        <x:v>728</x:v>
      </x:c>
    </x:row>
    <x:row r="264" ht="57.75" hidden="0" customHeight="1">
      <x:c r="B264" s="31" t="s">
        <x:v>143</x:v>
      </x:c>
      <x:c r="C264" s="31" t="s">
        <x:v>499</x:v>
      </x:c>
      <x:c r="D264" s="31" t="s">
        <x:v>729</x:v>
      </x:c>
    </x:row>
    <x:row r="265" ht="43.5" hidden="0" customHeight="1">
      <x:c r="B265" s="32" t="s">
        <x:v>143</x:v>
      </x:c>
      <x:c r="C265" s="32" t="s">
        <x:v>501</x:v>
      </x:c>
      <x:c r="D265" s="32" t="s">
        <x:v>713</x:v>
      </x:c>
    </x:row>
    <x:row r="266" ht="129" hidden="0" customHeight="1">
      <x:c r="B266" s="31" t="s">
        <x:v>143</x:v>
      </x:c>
      <x:c r="C266" s="31" t="s">
        <x:v>503</x:v>
      </x:c>
      <x:c r="D266" s="31" t="s">
        <x:v>730</x:v>
      </x:c>
    </x:row>
    <x:row r="267" ht="72" hidden="0" customHeight="1">
      <x:c r="B267" s="32" t="s">
        <x:v>143</x:v>
      </x:c>
      <x:c r="C267" s="32" t="s">
        <x:v>505</x:v>
      </x:c>
      <x:c r="D267" s="32" t="s">
        <x:v>731</x:v>
      </x:c>
    </x:row>
    <x:row r="268" ht="72" hidden="0" customHeight="1">
      <x:c r="B268" s="32" t="s">
        <x:v>143</x:v>
      </x:c>
      <x:c r="C268" s="32" t="s">
        <x:v>507</x:v>
      </x:c>
      <x:c r="D268" s="32" t="s">
        <x:v>732</x:v>
      </x:c>
    </x:row>
    <x:row r="269" ht="43.5" hidden="0" customHeight="1">
      <x:c r="B269" s="31" t="s">
        <x:v>143</x:v>
      </x:c>
      <x:c r="C269" s="31" t="s">
        <x:v>509</x:v>
      </x:c>
      <x:c r="D269" s="31" t="s">
        <x:v>644</x:v>
      </x:c>
    </x:row>
    <x:row r="270" ht="34.5" hidden="0" customHeight="1">
      <x:c r="B270" s="30" t="s">
        <x:v>145</x:v>
      </x:c>
      <x:c r="C270" s="30" t="s">
        <x:v>497</x:v>
      </x:c>
      <x:c r="D270" s="30" t="s">
        <x:v>146</x:v>
      </x:c>
    </x:row>
    <x:row r="271" ht="129" hidden="0" customHeight="1">
      <x:c r="B271" s="31" t="s">
        <x:v>145</x:v>
      </x:c>
      <x:c r="C271" s="31" t="s">
        <x:v>499</x:v>
      </x:c>
      <x:c r="D271" s="31" t="s">
        <x:v>733</x:v>
      </x:c>
    </x:row>
    <x:row r="272" ht="43.5" hidden="0" customHeight="1">
      <x:c r="B272" s="32" t="s">
        <x:v>145</x:v>
      </x:c>
      <x:c r="C272" s="32" t="s">
        <x:v>501</x:v>
      </x:c>
      <x:c r="D272" s="32" t="s">
        <x:v>734</x:v>
      </x:c>
    </x:row>
    <x:row r="273" ht="171.75" hidden="0" customHeight="1">
      <x:c r="B273" s="31" t="s">
        <x:v>145</x:v>
      </x:c>
      <x:c r="C273" s="31" t="s">
        <x:v>503</x:v>
      </x:c>
      <x:c r="D273" s="31" t="s">
        <x:v>735</x:v>
      </x:c>
    </x:row>
    <x:row r="274" ht="114.75" hidden="0" customHeight="1">
      <x:c r="B274" s="32" t="s">
        <x:v>145</x:v>
      </x:c>
      <x:c r="C274" s="32" t="s">
        <x:v>505</x:v>
      </x:c>
      <x:c r="D274" s="32" t="s">
        <x:v>736</x:v>
      </x:c>
    </x:row>
    <x:row r="275" ht="114.75" hidden="0" customHeight="1">
      <x:c r="B275" s="32" t="s">
        <x:v>145</x:v>
      </x:c>
      <x:c r="C275" s="32" t="s">
        <x:v>507</x:v>
      </x:c>
      <x:c r="D275" s="32" t="s">
        <x:v>737</x:v>
      </x:c>
    </x:row>
    <x:row r="276" ht="43.5" hidden="0" customHeight="1">
      <x:c r="B276" s="31" t="s">
        <x:v>145</x:v>
      </x:c>
      <x:c r="C276" s="31" t="s">
        <x:v>509</x:v>
      </x:c>
      <x:c r="D276" s="31" t="s">
        <x:v>626</x:v>
      </x:c>
    </x:row>
    <x:row r="277" ht="43.5" hidden="0" customHeight="1">
      <x:c r="B277" s="30" t="s">
        <x:v>147</x:v>
      </x:c>
      <x:c r="C277" s="30" t="s">
        <x:v>497</x:v>
      </x:c>
      <x:c r="D277" s="30" t="s">
        <x:v>738</x:v>
      </x:c>
    </x:row>
    <x:row r="278" ht="114.75" hidden="0" customHeight="1">
      <x:c r="B278" s="31" t="s">
        <x:v>147</x:v>
      </x:c>
      <x:c r="C278" s="31" t="s">
        <x:v>499</x:v>
      </x:c>
      <x:c r="D278" s="31" t="s">
        <x:v>739</x:v>
      </x:c>
    </x:row>
    <x:row r="279" ht="43.5" hidden="0" customHeight="1">
      <x:c r="B279" s="32" t="s">
        <x:v>147</x:v>
      </x:c>
      <x:c r="C279" s="32" t="s">
        <x:v>501</x:v>
      </x:c>
      <x:c r="D279" s="32" t="s">
        <x:v>734</x:v>
      </x:c>
    </x:row>
    <x:row r="280" ht="186" hidden="0" customHeight="1">
      <x:c r="B280" s="31" t="s">
        <x:v>147</x:v>
      </x:c>
      <x:c r="C280" s="31" t="s">
        <x:v>503</x:v>
      </x:c>
      <x:c r="D280" s="31" t="s">
        <x:v>740</x:v>
      </x:c>
    </x:row>
    <x:row r="281" ht="157.5" hidden="0" customHeight="1">
      <x:c r="B281" s="32" t="s">
        <x:v>147</x:v>
      </x:c>
      <x:c r="C281" s="32" t="s">
        <x:v>505</x:v>
      </x:c>
      <x:c r="D281" s="32" t="s">
        <x:v>741</x:v>
      </x:c>
    </x:row>
    <x:row r="282" ht="157.5" hidden="0" customHeight="1">
      <x:c r="B282" s="32" t="s">
        <x:v>147</x:v>
      </x:c>
      <x:c r="C282" s="32" t="s">
        <x:v>507</x:v>
      </x:c>
      <x:c r="D282" s="32" t="s">
        <x:v>742</x:v>
      </x:c>
    </x:row>
    <x:row r="283" ht="90" hidden="0" customHeight="1">
      <x:c r="B283" s="32" t="s">
        <x:v>147</x:v>
      </x:c>
      <x:c r="C283" s="32" t="s">
        <x:v>517</x:v>
      </x:c>
      <x:c r="D283" s="32" t="s">
        <x:v>743</x:v>
      </x:c>
    </x:row>
    <x:row r="284" ht="57.75" hidden="0" customHeight="1">
      <x:c r="B284" s="31" t="s">
        <x:v>147</x:v>
      </x:c>
      <x:c r="C284" s="31" t="s">
        <x:v>509</x:v>
      </x:c>
      <x:c r="D284" s="31" t="s">
        <x:v>633</x:v>
      </x:c>
    </x:row>
    <x:row r="285" ht="43.5" hidden="0" customHeight="1">
      <x:c r="B285" s="30" t="s">
        <x:v>149</x:v>
      </x:c>
      <x:c r="C285" s="30" t="s">
        <x:v>497</x:v>
      </x:c>
      <x:c r="D285" s="30" t="s">
        <x:v>744</x:v>
      </x:c>
    </x:row>
    <x:row r="286" ht="114.75" hidden="0" customHeight="1">
      <x:c r="B286" s="31" t="s">
        <x:v>149</x:v>
      </x:c>
      <x:c r="C286" s="31" t="s">
        <x:v>499</x:v>
      </x:c>
      <x:c r="D286" s="31" t="s">
        <x:v>745</x:v>
      </x:c>
    </x:row>
    <x:row r="287" ht="43.5" hidden="0" customHeight="1">
      <x:c r="B287" s="32" t="s">
        <x:v>149</x:v>
      </x:c>
      <x:c r="C287" s="32" t="s">
        <x:v>501</x:v>
      </x:c>
      <x:c r="D287" s="32" t="s">
        <x:v>734</x:v>
      </x:c>
    </x:row>
    <x:row r="288" ht="186" hidden="0" customHeight="1">
      <x:c r="B288" s="31" t="s">
        <x:v>149</x:v>
      </x:c>
      <x:c r="C288" s="31" t="s">
        <x:v>503</x:v>
      </x:c>
      <x:c r="D288" s="31" t="s">
        <x:v>746</x:v>
      </x:c>
    </x:row>
    <x:row r="289" ht="129" hidden="0" customHeight="1">
      <x:c r="B289" s="32" t="s">
        <x:v>149</x:v>
      </x:c>
      <x:c r="C289" s="32" t="s">
        <x:v>505</x:v>
      </x:c>
      <x:c r="D289" s="32" t="s">
        <x:v>747</x:v>
      </x:c>
    </x:row>
    <x:row r="290" ht="129" hidden="0" customHeight="1">
      <x:c r="B290" s="32" t="s">
        <x:v>149</x:v>
      </x:c>
      <x:c r="C290" s="32" t="s">
        <x:v>507</x:v>
      </x:c>
      <x:c r="D290" s="32" t="s">
        <x:v>748</x:v>
      </x:c>
    </x:row>
    <x:row r="291" ht="43.5" hidden="0" customHeight="1">
      <x:c r="B291" s="31" t="s">
        <x:v>149</x:v>
      </x:c>
      <x:c r="C291" s="31" t="s">
        <x:v>509</x:v>
      </x:c>
      <x:c r="D291" s="31" t="s">
        <x:v>639</x:v>
      </x:c>
    </x:row>
    <x:row r="292" ht="34.5" hidden="0" customHeight="1">
      <x:c r="B292" s="30" t="s">
        <x:v>151</x:v>
      </x:c>
      <x:c r="C292" s="30" t="s">
        <x:v>497</x:v>
      </x:c>
      <x:c r="D292" s="30" t="s">
        <x:v>749</x:v>
      </x:c>
    </x:row>
    <x:row r="293" ht="57.75" hidden="0" customHeight="1">
      <x:c r="B293" s="31" t="s">
        <x:v>151</x:v>
      </x:c>
      <x:c r="C293" s="31" t="s">
        <x:v>499</x:v>
      </x:c>
      <x:c r="D293" s="31" t="s">
        <x:v>750</x:v>
      </x:c>
    </x:row>
    <x:row r="294" ht="43.5" hidden="0" customHeight="1">
      <x:c r="B294" s="32" t="s">
        <x:v>151</x:v>
      </x:c>
      <x:c r="C294" s="32" t="s">
        <x:v>501</x:v>
      </x:c>
      <x:c r="D294" s="32" t="s">
        <x:v>734</x:v>
      </x:c>
    </x:row>
    <x:row r="295" ht="129" hidden="0" customHeight="1">
      <x:c r="B295" s="31" t="s">
        <x:v>151</x:v>
      </x:c>
      <x:c r="C295" s="31" t="s">
        <x:v>503</x:v>
      </x:c>
      <x:c r="D295" s="31" t="s">
        <x:v>751</x:v>
      </x:c>
    </x:row>
    <x:row r="296" ht="72" hidden="0" customHeight="1">
      <x:c r="B296" s="32" t="s">
        <x:v>151</x:v>
      </x:c>
      <x:c r="C296" s="32" t="s">
        <x:v>505</x:v>
      </x:c>
      <x:c r="D296" s="32" t="s">
        <x:v>752</x:v>
      </x:c>
    </x:row>
    <x:row r="297" ht="72" hidden="0" customHeight="1">
      <x:c r="B297" s="32" t="s">
        <x:v>151</x:v>
      </x:c>
      <x:c r="C297" s="32" t="s">
        <x:v>507</x:v>
      </x:c>
      <x:c r="D297" s="32" t="s">
        <x:v>753</x:v>
      </x:c>
    </x:row>
    <x:row r="298" ht="43.5" hidden="0" customHeight="1">
      <x:c r="B298" s="31" t="s">
        <x:v>151</x:v>
      </x:c>
      <x:c r="C298" s="31" t="s">
        <x:v>509</x:v>
      </x:c>
      <x:c r="D298" s="31" t="s">
        <x:v>644</x:v>
      </x:c>
    </x:row>
    <x:row r="299" ht="34.5" hidden="0" customHeight="1">
      <x:c r="B299" s="30" t="s">
        <x:v>153</x:v>
      </x:c>
      <x:c r="C299" s="30" t="s">
        <x:v>497</x:v>
      </x:c>
      <x:c r="D299" s="30" t="s">
        <x:v>154</x:v>
      </x:c>
    </x:row>
    <x:row r="300" ht="114.75" hidden="0" customHeight="1">
      <x:c r="B300" s="31" t="s">
        <x:v>153</x:v>
      </x:c>
      <x:c r="C300" s="31" t="s">
        <x:v>499</x:v>
      </x:c>
      <x:c r="D300" s="31" t="s">
        <x:v>754</x:v>
      </x:c>
    </x:row>
    <x:row r="301" ht="57.75" hidden="0" customHeight="1">
      <x:c r="B301" s="32" t="s">
        <x:v>153</x:v>
      </x:c>
      <x:c r="C301" s="32" t="s">
        <x:v>501</x:v>
      </x:c>
      <x:c r="D301" s="32" t="s">
        <x:v>755</x:v>
      </x:c>
    </x:row>
    <x:row r="302" ht="157.5" hidden="0" customHeight="1">
      <x:c r="B302" s="31" t="s">
        <x:v>153</x:v>
      </x:c>
      <x:c r="C302" s="31" t="s">
        <x:v>503</x:v>
      </x:c>
      <x:c r="D302" s="31" t="s">
        <x:v>756</x:v>
      </x:c>
    </x:row>
    <x:row r="303" ht="100.5" hidden="0" customHeight="1">
      <x:c r="B303" s="32" t="s">
        <x:v>153</x:v>
      </x:c>
      <x:c r="C303" s="32" t="s">
        <x:v>505</x:v>
      </x:c>
      <x:c r="D303" s="32" t="s">
        <x:v>757</x:v>
      </x:c>
    </x:row>
    <x:row r="304" ht="100.5" hidden="0" customHeight="1">
      <x:c r="B304" s="32" t="s">
        <x:v>153</x:v>
      </x:c>
      <x:c r="C304" s="32" t="s">
        <x:v>507</x:v>
      </x:c>
      <x:c r="D304" s="32" t="s">
        <x:v>758</x:v>
      </x:c>
    </x:row>
    <x:row r="305" ht="43.5" hidden="0" customHeight="1">
      <x:c r="B305" s="31" t="s">
        <x:v>153</x:v>
      </x:c>
      <x:c r="C305" s="31" t="s">
        <x:v>509</x:v>
      </x:c>
      <x:c r="D305" s="31" t="s">
        <x:v>626</x:v>
      </x:c>
    </x:row>
    <x:row r="306" ht="43.5" hidden="0" customHeight="1">
      <x:c r="B306" s="30" t="s">
        <x:v>155</x:v>
      </x:c>
      <x:c r="C306" s="30" t="s">
        <x:v>497</x:v>
      </x:c>
      <x:c r="D306" s="30" t="s">
        <x:v>759</x:v>
      </x:c>
    </x:row>
    <x:row r="307" ht="100.5" hidden="0" customHeight="1">
      <x:c r="B307" s="31" t="s">
        <x:v>155</x:v>
      </x:c>
      <x:c r="C307" s="31" t="s">
        <x:v>499</x:v>
      </x:c>
      <x:c r="D307" s="31" t="s">
        <x:v>760</x:v>
      </x:c>
    </x:row>
    <x:row r="308" ht="57.75" hidden="0" customHeight="1">
      <x:c r="B308" s="32" t="s">
        <x:v>155</x:v>
      </x:c>
      <x:c r="C308" s="32" t="s">
        <x:v>501</x:v>
      </x:c>
      <x:c r="D308" s="32" t="s">
        <x:v>755</x:v>
      </x:c>
    </x:row>
    <x:row r="309" ht="171.75" hidden="0" customHeight="1">
      <x:c r="B309" s="31" t="s">
        <x:v>155</x:v>
      </x:c>
      <x:c r="C309" s="31" t="s">
        <x:v>503</x:v>
      </x:c>
      <x:c r="D309" s="31" t="s">
        <x:v>761</x:v>
      </x:c>
    </x:row>
    <x:row r="310" ht="143.25" hidden="0" customHeight="1">
      <x:c r="B310" s="32" t="s">
        <x:v>155</x:v>
      </x:c>
      <x:c r="C310" s="32" t="s">
        <x:v>505</x:v>
      </x:c>
      <x:c r="D310" s="32" t="s">
        <x:v>762</x:v>
      </x:c>
    </x:row>
    <x:row r="311" ht="143.25" hidden="0" customHeight="1">
      <x:c r="B311" s="32" t="s">
        <x:v>155</x:v>
      </x:c>
      <x:c r="C311" s="32" t="s">
        <x:v>507</x:v>
      </x:c>
      <x:c r="D311" s="32" t="s">
        <x:v>763</x:v>
      </x:c>
    </x:row>
    <x:row r="312" ht="90" hidden="0" customHeight="1">
      <x:c r="B312" s="32" t="s">
        <x:v>155</x:v>
      </x:c>
      <x:c r="C312" s="32" t="s">
        <x:v>517</x:v>
      </x:c>
      <x:c r="D312" s="32" t="s">
        <x:v>764</x:v>
      </x:c>
    </x:row>
    <x:row r="313" ht="57.75" hidden="0" customHeight="1">
      <x:c r="B313" s="31" t="s">
        <x:v>155</x:v>
      </x:c>
      <x:c r="C313" s="31" t="s">
        <x:v>509</x:v>
      </x:c>
      <x:c r="D313" s="31" t="s">
        <x:v>633</x:v>
      </x:c>
    </x:row>
    <x:row r="314" ht="43.5" hidden="0" customHeight="1">
      <x:c r="B314" s="30" t="s">
        <x:v>157</x:v>
      </x:c>
      <x:c r="C314" s="30" t="s">
        <x:v>497</x:v>
      </x:c>
      <x:c r="D314" s="30" t="s">
        <x:v>765</x:v>
      </x:c>
    </x:row>
    <x:row r="315" ht="114.75" hidden="0" customHeight="1">
      <x:c r="B315" s="31" t="s">
        <x:v>157</x:v>
      </x:c>
      <x:c r="C315" s="31" t="s">
        <x:v>499</x:v>
      </x:c>
      <x:c r="D315" s="31" t="s">
        <x:v>766</x:v>
      </x:c>
    </x:row>
    <x:row r="316" ht="57.75" hidden="0" customHeight="1">
      <x:c r="B316" s="32" t="s">
        <x:v>157</x:v>
      </x:c>
      <x:c r="C316" s="32" t="s">
        <x:v>501</x:v>
      </x:c>
      <x:c r="D316" s="32" t="s">
        <x:v>755</x:v>
      </x:c>
    </x:row>
    <x:row r="317" ht="186" hidden="0" customHeight="1">
      <x:c r="B317" s="31" t="s">
        <x:v>157</x:v>
      </x:c>
      <x:c r="C317" s="31" t="s">
        <x:v>503</x:v>
      </x:c>
      <x:c r="D317" s="31" t="s">
        <x:v>767</x:v>
      </x:c>
    </x:row>
    <x:row r="318" ht="129" hidden="0" customHeight="1">
      <x:c r="B318" s="32" t="s">
        <x:v>157</x:v>
      </x:c>
      <x:c r="C318" s="32" t="s">
        <x:v>505</x:v>
      </x:c>
      <x:c r="D318" s="32" t="s">
        <x:v>768</x:v>
      </x:c>
    </x:row>
    <x:row r="319" ht="129" hidden="0" customHeight="1">
      <x:c r="B319" s="32" t="s">
        <x:v>157</x:v>
      </x:c>
      <x:c r="C319" s="32" t="s">
        <x:v>507</x:v>
      </x:c>
      <x:c r="D319" s="32" t="s">
        <x:v>769</x:v>
      </x:c>
    </x:row>
    <x:row r="320" ht="43.5" hidden="0" customHeight="1">
      <x:c r="B320" s="31" t="s">
        <x:v>157</x:v>
      </x:c>
      <x:c r="C320" s="31" t="s">
        <x:v>509</x:v>
      </x:c>
      <x:c r="D320" s="31" t="s">
        <x:v>639</x:v>
      </x:c>
    </x:row>
    <x:row r="321" ht="34.5" hidden="0" customHeight="1">
      <x:c r="B321" s="30" t="s">
        <x:v>159</x:v>
      </x:c>
      <x:c r="C321" s="30" t="s">
        <x:v>497</x:v>
      </x:c>
      <x:c r="D321" s="30" t="s">
        <x:v>770</x:v>
      </x:c>
    </x:row>
    <x:row r="322" ht="57.75" hidden="0" customHeight="1">
      <x:c r="B322" s="31" t="s">
        <x:v>159</x:v>
      </x:c>
      <x:c r="C322" s="31" t="s">
        <x:v>499</x:v>
      </x:c>
      <x:c r="D322" s="31" t="s">
        <x:v>771</x:v>
      </x:c>
    </x:row>
    <x:row r="323" ht="57.75" hidden="0" customHeight="1">
      <x:c r="B323" s="32" t="s">
        <x:v>159</x:v>
      </x:c>
      <x:c r="C323" s="32" t="s">
        <x:v>501</x:v>
      </x:c>
      <x:c r="D323" s="32" t="s">
        <x:v>755</x:v>
      </x:c>
    </x:row>
    <x:row r="324" ht="129" hidden="0" customHeight="1">
      <x:c r="B324" s="31" t="s">
        <x:v>159</x:v>
      </x:c>
      <x:c r="C324" s="31" t="s">
        <x:v>503</x:v>
      </x:c>
      <x:c r="D324" s="31" t="s">
        <x:v>772</x:v>
      </x:c>
    </x:row>
    <x:row r="325" ht="72" hidden="0" customHeight="1">
      <x:c r="B325" s="32" t="s">
        <x:v>159</x:v>
      </x:c>
      <x:c r="C325" s="32" t="s">
        <x:v>505</x:v>
      </x:c>
      <x:c r="D325" s="32" t="s">
        <x:v>773</x:v>
      </x:c>
    </x:row>
    <x:row r="326" ht="72" hidden="0" customHeight="1">
      <x:c r="B326" s="32" t="s">
        <x:v>159</x:v>
      </x:c>
      <x:c r="C326" s="32" t="s">
        <x:v>507</x:v>
      </x:c>
      <x:c r="D326" s="32" t="s">
        <x:v>774</x:v>
      </x:c>
    </x:row>
    <x:row r="327" ht="43.5" hidden="0" customHeight="1">
      <x:c r="B327" s="31" t="s">
        <x:v>159</x:v>
      </x:c>
      <x:c r="C327" s="31" t="s">
        <x:v>509</x:v>
      </x:c>
      <x:c r="D327" s="31" t="s">
        <x:v>644</x:v>
      </x:c>
    </x:row>
    <x:row r="328" ht="34.5" hidden="0" customHeight="1">
      <x:c r="B328" s="30" t="s">
        <x:v>161</x:v>
      </x:c>
      <x:c r="C328" s="30" t="s">
        <x:v>497</x:v>
      </x:c>
      <x:c r="D328" s="30" t="s">
        <x:v>162</x:v>
      </x:c>
    </x:row>
    <x:row r="329" ht="114.75" hidden="0" customHeight="1">
      <x:c r="B329" s="31" t="s">
        <x:v>161</x:v>
      </x:c>
      <x:c r="C329" s="31" t="s">
        <x:v>499</x:v>
      </x:c>
      <x:c r="D329" s="31" t="s">
        <x:v>775</x:v>
      </x:c>
    </x:row>
    <x:row r="330" ht="43.5" hidden="0" customHeight="1">
      <x:c r="B330" s="32" t="s">
        <x:v>161</x:v>
      </x:c>
      <x:c r="C330" s="32" t="s">
        <x:v>501</x:v>
      </x:c>
      <x:c r="D330" s="32" t="s">
        <x:v>776</x:v>
      </x:c>
    </x:row>
    <x:row r="331" ht="157.5" hidden="0" customHeight="1">
      <x:c r="B331" s="31" t="s">
        <x:v>161</x:v>
      </x:c>
      <x:c r="C331" s="31" t="s">
        <x:v>503</x:v>
      </x:c>
      <x:c r="D331" s="31" t="s">
        <x:v>777</x:v>
      </x:c>
    </x:row>
    <x:row r="332" ht="114.75" hidden="0" customHeight="1">
      <x:c r="B332" s="32" t="s">
        <x:v>161</x:v>
      </x:c>
      <x:c r="C332" s="32" t="s">
        <x:v>505</x:v>
      </x:c>
      <x:c r="D332" s="32" t="s">
        <x:v>778</x:v>
      </x:c>
    </x:row>
    <x:row r="333" ht="114.75" hidden="0" customHeight="1">
      <x:c r="B333" s="32" t="s">
        <x:v>161</x:v>
      </x:c>
      <x:c r="C333" s="32" t="s">
        <x:v>507</x:v>
      </x:c>
      <x:c r="D333" s="32" t="s">
        <x:v>779</x:v>
      </x:c>
    </x:row>
    <x:row r="334" ht="43.5" hidden="0" customHeight="1">
      <x:c r="B334" s="31" t="s">
        <x:v>161</x:v>
      </x:c>
      <x:c r="C334" s="31" t="s">
        <x:v>509</x:v>
      </x:c>
      <x:c r="D334" s="31" t="s">
        <x:v>626</x:v>
      </x:c>
    </x:row>
    <x:row r="335" ht="43.5" hidden="0" customHeight="1">
      <x:c r="B335" s="30" t="s">
        <x:v>163</x:v>
      </x:c>
      <x:c r="C335" s="30" t="s">
        <x:v>497</x:v>
      </x:c>
      <x:c r="D335" s="30" t="s">
        <x:v>780</x:v>
      </x:c>
    </x:row>
    <x:row r="336" ht="100.5" hidden="0" customHeight="1">
      <x:c r="B336" s="31" t="s">
        <x:v>163</x:v>
      </x:c>
      <x:c r="C336" s="31" t="s">
        <x:v>499</x:v>
      </x:c>
      <x:c r="D336" s="31" t="s">
        <x:v>781</x:v>
      </x:c>
    </x:row>
    <x:row r="337" ht="43.5" hidden="0" customHeight="1">
      <x:c r="B337" s="32" t="s">
        <x:v>163</x:v>
      </x:c>
      <x:c r="C337" s="32" t="s">
        <x:v>501</x:v>
      </x:c>
      <x:c r="D337" s="32" t="s">
        <x:v>776</x:v>
      </x:c>
    </x:row>
    <x:row r="338" ht="171.75" hidden="0" customHeight="1">
      <x:c r="B338" s="31" t="s">
        <x:v>163</x:v>
      </x:c>
      <x:c r="C338" s="31" t="s">
        <x:v>503</x:v>
      </x:c>
      <x:c r="D338" s="31" t="s">
        <x:v>782</x:v>
      </x:c>
    </x:row>
    <x:row r="339" ht="143.25" hidden="0" customHeight="1">
      <x:c r="B339" s="32" t="s">
        <x:v>163</x:v>
      </x:c>
      <x:c r="C339" s="32" t="s">
        <x:v>505</x:v>
      </x:c>
      <x:c r="D339" s="32" t="s">
        <x:v>783</x:v>
      </x:c>
    </x:row>
    <x:row r="340" ht="143.25" hidden="0" customHeight="1">
      <x:c r="B340" s="32" t="s">
        <x:v>163</x:v>
      </x:c>
      <x:c r="C340" s="32" t="s">
        <x:v>507</x:v>
      </x:c>
      <x:c r="D340" s="32" t="s">
        <x:v>784</x:v>
      </x:c>
    </x:row>
    <x:row r="341" ht="90" hidden="0" customHeight="1">
      <x:c r="B341" s="32" t="s">
        <x:v>163</x:v>
      </x:c>
      <x:c r="C341" s="32" t="s">
        <x:v>517</x:v>
      </x:c>
      <x:c r="D341" s="32" t="s">
        <x:v>785</x:v>
      </x:c>
    </x:row>
    <x:row r="342" ht="57.75" hidden="0" customHeight="1">
      <x:c r="B342" s="31" t="s">
        <x:v>163</x:v>
      </x:c>
      <x:c r="C342" s="31" t="s">
        <x:v>509</x:v>
      </x:c>
      <x:c r="D342" s="31" t="s">
        <x:v>633</x:v>
      </x:c>
    </x:row>
    <x:row r="343" ht="43.5" hidden="0" customHeight="1">
      <x:c r="B343" s="30" t="s">
        <x:v>166</x:v>
      </x:c>
      <x:c r="C343" s="30" t="s">
        <x:v>497</x:v>
      </x:c>
      <x:c r="D343" s="30" t="s">
        <x:v>786</x:v>
      </x:c>
    </x:row>
    <x:row r="344" ht="114.75" hidden="0" customHeight="1">
      <x:c r="B344" s="31" t="s">
        <x:v>166</x:v>
      </x:c>
      <x:c r="C344" s="31" t="s">
        <x:v>499</x:v>
      </x:c>
      <x:c r="D344" s="31" t="s">
        <x:v>787</x:v>
      </x:c>
    </x:row>
    <x:row r="345" ht="43.5" hidden="0" customHeight="1">
      <x:c r="B345" s="32" t="s">
        <x:v>166</x:v>
      </x:c>
      <x:c r="C345" s="32" t="s">
        <x:v>501</x:v>
      </x:c>
      <x:c r="D345" s="32" t="s">
        <x:v>776</x:v>
      </x:c>
    </x:row>
    <x:row r="346" ht="186" hidden="0" customHeight="1">
      <x:c r="B346" s="31" t="s">
        <x:v>166</x:v>
      </x:c>
      <x:c r="C346" s="31" t="s">
        <x:v>503</x:v>
      </x:c>
      <x:c r="D346" s="31" t="s">
        <x:v>788</x:v>
      </x:c>
    </x:row>
    <x:row r="347" ht="129" hidden="0" customHeight="1">
      <x:c r="B347" s="32" t="s">
        <x:v>166</x:v>
      </x:c>
      <x:c r="C347" s="32" t="s">
        <x:v>505</x:v>
      </x:c>
      <x:c r="D347" s="32" t="s">
        <x:v>789</x:v>
      </x:c>
    </x:row>
    <x:row r="348" ht="129" hidden="0" customHeight="1">
      <x:c r="B348" s="32" t="s">
        <x:v>166</x:v>
      </x:c>
      <x:c r="C348" s="32" t="s">
        <x:v>507</x:v>
      </x:c>
      <x:c r="D348" s="32" t="s">
        <x:v>790</x:v>
      </x:c>
    </x:row>
    <x:row r="349" ht="43.5" hidden="0" customHeight="1">
      <x:c r="B349" s="31" t="s">
        <x:v>166</x:v>
      </x:c>
      <x:c r="C349" s="31" t="s">
        <x:v>509</x:v>
      </x:c>
      <x:c r="D349" s="31" t="s">
        <x:v>639</x:v>
      </x:c>
    </x:row>
    <x:row r="350" ht="43.5" hidden="0" customHeight="1">
      <x:c r="B350" s="30" t="s">
        <x:v>168</x:v>
      </x:c>
      <x:c r="C350" s="30" t="s">
        <x:v>497</x:v>
      </x:c>
      <x:c r="D350" s="30" t="s">
        <x:v>791</x:v>
      </x:c>
    </x:row>
    <x:row r="351" ht="72" hidden="0" customHeight="1">
      <x:c r="B351" s="31" t="s">
        <x:v>168</x:v>
      </x:c>
      <x:c r="C351" s="31" t="s">
        <x:v>499</x:v>
      </x:c>
      <x:c r="D351" s="31" t="s">
        <x:v>792</x:v>
      </x:c>
    </x:row>
    <x:row r="352" ht="43.5" hidden="0" customHeight="1">
      <x:c r="B352" s="32" t="s">
        <x:v>168</x:v>
      </x:c>
      <x:c r="C352" s="32" t="s">
        <x:v>501</x:v>
      </x:c>
      <x:c r="D352" s="32" t="s">
        <x:v>776</x:v>
      </x:c>
    </x:row>
    <x:row r="353" ht="129" hidden="0" customHeight="1">
      <x:c r="B353" s="31" t="s">
        <x:v>168</x:v>
      </x:c>
      <x:c r="C353" s="31" t="s">
        <x:v>503</x:v>
      </x:c>
      <x:c r="D353" s="31" t="s">
        <x:v>793</x:v>
      </x:c>
    </x:row>
    <x:row r="354" ht="72" hidden="0" customHeight="1">
      <x:c r="B354" s="32" t="s">
        <x:v>168</x:v>
      </x:c>
      <x:c r="C354" s="32" t="s">
        <x:v>505</x:v>
      </x:c>
      <x:c r="D354" s="32" t="s">
        <x:v>794</x:v>
      </x:c>
    </x:row>
    <x:row r="355" ht="72" hidden="0" customHeight="1">
      <x:c r="B355" s="32" t="s">
        <x:v>168</x:v>
      </x:c>
      <x:c r="C355" s="32" t="s">
        <x:v>507</x:v>
      </x:c>
      <x:c r="D355" s="32" t="s">
        <x:v>795</x:v>
      </x:c>
    </x:row>
    <x:row r="356" ht="43.5" hidden="0" customHeight="1">
      <x:c r="B356" s="31" t="s">
        <x:v>168</x:v>
      </x:c>
      <x:c r="C356" s="31" t="s">
        <x:v>509</x:v>
      </x:c>
      <x:c r="D356" s="31" t="s">
        <x:v>711</x:v>
      </x:c>
    </x:row>
    <x:row r="357" ht="34.5" hidden="0" customHeight="1">
      <x:c r="B357" s="30" t="s">
        <x:v>170</x:v>
      </x:c>
      <x:c r="C357" s="30" t="s">
        <x:v>497</x:v>
      </x:c>
      <x:c r="D357" s="30" t="s">
        <x:v>796</x:v>
      </x:c>
    </x:row>
    <x:row r="358" ht="129" hidden="0" customHeight="1">
      <x:c r="B358" s="31" t="s">
        <x:v>170</x:v>
      </x:c>
      <x:c r="C358" s="31" t="s">
        <x:v>499</x:v>
      </x:c>
      <x:c r="D358" s="31" t="s">
        <x:v>797</x:v>
      </x:c>
    </x:row>
    <x:row r="359" ht="57.75" hidden="0" customHeight="1">
      <x:c r="B359" s="32" t="s">
        <x:v>170</x:v>
      </x:c>
      <x:c r="C359" s="32" t="s">
        <x:v>501</x:v>
      </x:c>
      <x:c r="D359" s="32" t="s">
        <x:v>798</x:v>
      </x:c>
    </x:row>
    <x:row r="360" ht="171.75" hidden="0" customHeight="1">
      <x:c r="B360" s="31" t="s">
        <x:v>170</x:v>
      </x:c>
      <x:c r="C360" s="31" t="s">
        <x:v>503</x:v>
      </x:c>
      <x:c r="D360" s="31" t="s">
        <x:v>799</x:v>
      </x:c>
    </x:row>
    <x:row r="361" ht="114.75" hidden="0" customHeight="1">
      <x:c r="B361" s="32" t="s">
        <x:v>170</x:v>
      </x:c>
      <x:c r="C361" s="32" t="s">
        <x:v>505</x:v>
      </x:c>
      <x:c r="D361" s="32" t="s">
        <x:v>800</x:v>
      </x:c>
    </x:row>
    <x:row r="362" ht="114.75" hidden="0" customHeight="1">
      <x:c r="B362" s="32" t="s">
        <x:v>170</x:v>
      </x:c>
      <x:c r="C362" s="32" t="s">
        <x:v>507</x:v>
      </x:c>
      <x:c r="D362" s="32" t="s">
        <x:v>801</x:v>
      </x:c>
    </x:row>
    <x:row r="363" ht="43.5" hidden="0" customHeight="1">
      <x:c r="B363" s="31" t="s">
        <x:v>170</x:v>
      </x:c>
      <x:c r="C363" s="31" t="s">
        <x:v>509</x:v>
      </x:c>
      <x:c r="D363" s="31" t="s">
        <x:v>626</x:v>
      </x:c>
    </x:row>
    <x:row r="364" ht="43.5" hidden="0" customHeight="1">
      <x:c r="B364" s="30" t="s">
        <x:v>172</x:v>
      </x:c>
      <x:c r="C364" s="30" t="s">
        <x:v>497</x:v>
      </x:c>
      <x:c r="D364" s="30" t="s">
        <x:v>802</x:v>
      </x:c>
    </x:row>
    <x:row r="365" ht="114.75" hidden="0" customHeight="1">
      <x:c r="B365" s="31" t="s">
        <x:v>172</x:v>
      </x:c>
      <x:c r="C365" s="31" t="s">
        <x:v>499</x:v>
      </x:c>
      <x:c r="D365" s="31" t="s">
        <x:v>803</x:v>
      </x:c>
    </x:row>
    <x:row r="366" ht="57.75" hidden="0" customHeight="1">
      <x:c r="B366" s="32" t="s">
        <x:v>172</x:v>
      </x:c>
      <x:c r="C366" s="32" t="s">
        <x:v>501</x:v>
      </x:c>
      <x:c r="D366" s="32" t="s">
        <x:v>798</x:v>
      </x:c>
    </x:row>
    <x:row r="367" ht="186" hidden="0" customHeight="1">
      <x:c r="B367" s="31" t="s">
        <x:v>172</x:v>
      </x:c>
      <x:c r="C367" s="31" t="s">
        <x:v>503</x:v>
      </x:c>
      <x:c r="D367" s="31" t="s">
        <x:v>804</x:v>
      </x:c>
    </x:row>
    <x:row r="368" ht="157.5" hidden="0" customHeight="1">
      <x:c r="B368" s="32" t="s">
        <x:v>172</x:v>
      </x:c>
      <x:c r="C368" s="32" t="s">
        <x:v>505</x:v>
      </x:c>
      <x:c r="D368" s="32" t="s">
        <x:v>805</x:v>
      </x:c>
    </x:row>
    <x:row r="369" ht="157.5" hidden="0" customHeight="1">
      <x:c r="B369" s="32" t="s">
        <x:v>172</x:v>
      </x:c>
      <x:c r="C369" s="32" t="s">
        <x:v>507</x:v>
      </x:c>
      <x:c r="D369" s="32" t="s">
        <x:v>806</x:v>
      </x:c>
    </x:row>
    <x:row r="370" ht="90" hidden="0" customHeight="1">
      <x:c r="B370" s="32" t="s">
        <x:v>172</x:v>
      </x:c>
      <x:c r="C370" s="32" t="s">
        <x:v>517</x:v>
      </x:c>
      <x:c r="D370" s="32" t="s">
        <x:v>807</x:v>
      </x:c>
    </x:row>
    <x:row r="371" ht="57.75" hidden="0" customHeight="1">
      <x:c r="B371" s="31" t="s">
        <x:v>172</x:v>
      </x:c>
      <x:c r="C371" s="31" t="s">
        <x:v>509</x:v>
      </x:c>
      <x:c r="D371" s="31" t="s">
        <x:v>633</x:v>
      </x:c>
    </x:row>
    <x:row r="372" ht="43.5" hidden="0" customHeight="1">
      <x:c r="B372" s="30" t="s">
        <x:v>174</x:v>
      </x:c>
      <x:c r="C372" s="30" t="s">
        <x:v>497</x:v>
      </x:c>
      <x:c r="D372" s="30" t="s">
        <x:v>808</x:v>
      </x:c>
    </x:row>
    <x:row r="373" ht="114.75" hidden="0" customHeight="1">
      <x:c r="B373" s="31" t="s">
        <x:v>174</x:v>
      </x:c>
      <x:c r="C373" s="31" t="s">
        <x:v>499</x:v>
      </x:c>
      <x:c r="D373" s="31" t="s">
        <x:v>809</x:v>
      </x:c>
    </x:row>
    <x:row r="374" ht="57.75" hidden="0" customHeight="1">
      <x:c r="B374" s="32" t="s">
        <x:v>174</x:v>
      </x:c>
      <x:c r="C374" s="32" t="s">
        <x:v>501</x:v>
      </x:c>
      <x:c r="D374" s="32" t="s">
        <x:v>798</x:v>
      </x:c>
    </x:row>
    <x:row r="375" ht="186" hidden="0" customHeight="1">
      <x:c r="B375" s="31" t="s">
        <x:v>174</x:v>
      </x:c>
      <x:c r="C375" s="31" t="s">
        <x:v>503</x:v>
      </x:c>
      <x:c r="D375" s="31" t="s">
        <x:v>810</x:v>
      </x:c>
    </x:row>
    <x:row r="376" ht="129" hidden="0" customHeight="1">
      <x:c r="B376" s="32" t="s">
        <x:v>174</x:v>
      </x:c>
      <x:c r="C376" s="32" t="s">
        <x:v>505</x:v>
      </x:c>
      <x:c r="D376" s="32" t="s">
        <x:v>811</x:v>
      </x:c>
    </x:row>
    <x:row r="377" ht="129" hidden="0" customHeight="1">
      <x:c r="B377" s="32" t="s">
        <x:v>174</x:v>
      </x:c>
      <x:c r="C377" s="32" t="s">
        <x:v>507</x:v>
      </x:c>
      <x:c r="D377" s="32" t="s">
        <x:v>812</x:v>
      </x:c>
    </x:row>
    <x:row r="378" ht="43.5" hidden="0" customHeight="1">
      <x:c r="B378" s="31" t="s">
        <x:v>174</x:v>
      </x:c>
      <x:c r="C378" s="31" t="s">
        <x:v>509</x:v>
      </x:c>
      <x:c r="D378" s="31" t="s">
        <x:v>639</x:v>
      </x:c>
    </x:row>
    <x:row r="379" ht="34.5" hidden="0" customHeight="1">
      <x:c r="B379" s="30" t="s">
        <x:v>176</x:v>
      </x:c>
      <x:c r="C379" s="30" t="s">
        <x:v>497</x:v>
      </x:c>
      <x:c r="D379" s="30" t="s">
        <x:v>813</x:v>
      </x:c>
    </x:row>
    <x:row r="380" ht="57.75" hidden="0" customHeight="1">
      <x:c r="B380" s="31" t="s">
        <x:v>176</x:v>
      </x:c>
      <x:c r="C380" s="31" t="s">
        <x:v>499</x:v>
      </x:c>
      <x:c r="D380" s="31" t="s">
        <x:v>814</x:v>
      </x:c>
    </x:row>
    <x:row r="381" ht="57.75" hidden="0" customHeight="1">
      <x:c r="B381" s="32" t="s">
        <x:v>176</x:v>
      </x:c>
      <x:c r="C381" s="32" t="s">
        <x:v>501</x:v>
      </x:c>
      <x:c r="D381" s="32" t="s">
        <x:v>798</x:v>
      </x:c>
    </x:row>
    <x:row r="382" ht="129" hidden="0" customHeight="1">
      <x:c r="B382" s="31" t="s">
        <x:v>176</x:v>
      </x:c>
      <x:c r="C382" s="31" t="s">
        <x:v>503</x:v>
      </x:c>
      <x:c r="D382" s="31" t="s">
        <x:v>815</x:v>
      </x:c>
    </x:row>
    <x:row r="383" ht="72" hidden="0" customHeight="1">
      <x:c r="B383" s="32" t="s">
        <x:v>176</x:v>
      </x:c>
      <x:c r="C383" s="32" t="s">
        <x:v>505</x:v>
      </x:c>
      <x:c r="D383" s="32" t="s">
        <x:v>816</x:v>
      </x:c>
    </x:row>
    <x:row r="384" ht="72" hidden="0" customHeight="1">
      <x:c r="B384" s="32" t="s">
        <x:v>176</x:v>
      </x:c>
      <x:c r="C384" s="32" t="s">
        <x:v>507</x:v>
      </x:c>
      <x:c r="D384" s="32" t="s">
        <x:v>817</x:v>
      </x:c>
    </x:row>
    <x:row r="385" ht="43.5" hidden="0" customHeight="1">
      <x:c r="B385" s="31" t="s">
        <x:v>176</x:v>
      </x:c>
      <x:c r="C385" s="31" t="s">
        <x:v>509</x:v>
      </x:c>
      <x:c r="D385" s="31" t="s">
        <x:v>644</x:v>
      </x:c>
    </x:row>
    <x:row r="386" ht="34.5" hidden="0" customHeight="1">
      <x:c r="B386" s="30" t="s">
        <x:v>178</x:v>
      </x:c>
      <x:c r="C386" s="30" t="s">
        <x:v>497</x:v>
      </x:c>
      <x:c r="D386" s="30" t="s">
        <x:v>179</x:v>
      </x:c>
    </x:row>
    <x:row r="387" ht="114.75" hidden="0" customHeight="1">
      <x:c r="B387" s="31" t="s">
        <x:v>178</x:v>
      </x:c>
      <x:c r="C387" s="31" t="s">
        <x:v>499</x:v>
      </x:c>
      <x:c r="D387" s="31" t="s">
        <x:v>818</x:v>
      </x:c>
    </x:row>
    <x:row r="388" ht="43.5" hidden="0" customHeight="1">
      <x:c r="B388" s="32" t="s">
        <x:v>178</x:v>
      </x:c>
      <x:c r="C388" s="32" t="s">
        <x:v>501</x:v>
      </x:c>
      <x:c r="D388" s="32" t="s">
        <x:v>819</x:v>
      </x:c>
    </x:row>
    <x:row r="389" ht="157.5" hidden="0" customHeight="1">
      <x:c r="B389" s="31" t="s">
        <x:v>178</x:v>
      </x:c>
      <x:c r="C389" s="31" t="s">
        <x:v>503</x:v>
      </x:c>
      <x:c r="D389" s="31" t="s">
        <x:v>820</x:v>
      </x:c>
    </x:row>
    <x:row r="390" ht="114.75" hidden="0" customHeight="1">
      <x:c r="B390" s="32" t="s">
        <x:v>178</x:v>
      </x:c>
      <x:c r="C390" s="32" t="s">
        <x:v>505</x:v>
      </x:c>
      <x:c r="D390" s="32" t="s">
        <x:v>821</x:v>
      </x:c>
    </x:row>
    <x:row r="391" ht="114.75" hidden="0" customHeight="1">
      <x:c r="B391" s="32" t="s">
        <x:v>178</x:v>
      </x:c>
      <x:c r="C391" s="32" t="s">
        <x:v>507</x:v>
      </x:c>
      <x:c r="D391" s="32" t="s">
        <x:v>822</x:v>
      </x:c>
    </x:row>
    <x:row r="392" ht="43.5" hidden="0" customHeight="1">
      <x:c r="B392" s="31" t="s">
        <x:v>178</x:v>
      </x:c>
      <x:c r="C392" s="31" t="s">
        <x:v>509</x:v>
      </x:c>
      <x:c r="D392" s="31" t="s">
        <x:v>626</x:v>
      </x:c>
    </x:row>
    <x:row r="393" ht="43.5" hidden="0" customHeight="1">
      <x:c r="B393" s="30" t="s">
        <x:v>180</x:v>
      </x:c>
      <x:c r="C393" s="30" t="s">
        <x:v>497</x:v>
      </x:c>
      <x:c r="D393" s="30" t="s">
        <x:v>823</x:v>
      </x:c>
    </x:row>
    <x:row r="394" ht="100.5" hidden="0" customHeight="1">
      <x:c r="B394" s="31" t="s">
        <x:v>180</x:v>
      </x:c>
      <x:c r="C394" s="31" t="s">
        <x:v>499</x:v>
      </x:c>
      <x:c r="D394" s="31" t="s">
        <x:v>824</x:v>
      </x:c>
    </x:row>
    <x:row r="395" ht="43.5" hidden="0" customHeight="1">
      <x:c r="B395" s="32" t="s">
        <x:v>180</x:v>
      </x:c>
      <x:c r="C395" s="32" t="s">
        <x:v>501</x:v>
      </x:c>
      <x:c r="D395" s="32" t="s">
        <x:v>819</x:v>
      </x:c>
    </x:row>
    <x:row r="396" ht="171.75" hidden="0" customHeight="1">
      <x:c r="B396" s="31" t="s">
        <x:v>180</x:v>
      </x:c>
      <x:c r="C396" s="31" t="s">
        <x:v>503</x:v>
      </x:c>
      <x:c r="D396" s="31" t="s">
        <x:v>825</x:v>
      </x:c>
    </x:row>
    <x:row r="397" ht="143.25" hidden="0" customHeight="1">
      <x:c r="B397" s="32" t="s">
        <x:v>180</x:v>
      </x:c>
      <x:c r="C397" s="32" t="s">
        <x:v>505</x:v>
      </x:c>
      <x:c r="D397" s="32" t="s">
        <x:v>826</x:v>
      </x:c>
    </x:row>
    <x:row r="398" ht="143.25" hidden="0" customHeight="1">
      <x:c r="B398" s="32" t="s">
        <x:v>180</x:v>
      </x:c>
      <x:c r="C398" s="32" t="s">
        <x:v>507</x:v>
      </x:c>
      <x:c r="D398" s="32" t="s">
        <x:v>827</x:v>
      </x:c>
    </x:row>
    <x:row r="399" ht="90" hidden="0" customHeight="1">
      <x:c r="B399" s="32" t="s">
        <x:v>180</x:v>
      </x:c>
      <x:c r="C399" s="32" t="s">
        <x:v>517</x:v>
      </x:c>
      <x:c r="D399" s="32" t="s">
        <x:v>828</x:v>
      </x:c>
    </x:row>
    <x:row r="400" ht="57.75" hidden="0" customHeight="1">
      <x:c r="B400" s="31" t="s">
        <x:v>180</x:v>
      </x:c>
      <x:c r="C400" s="31" t="s">
        <x:v>509</x:v>
      </x:c>
      <x:c r="D400" s="31" t="s">
        <x:v>633</x:v>
      </x:c>
    </x:row>
    <x:row r="401" ht="43.5" hidden="0" customHeight="1">
      <x:c r="B401" s="30" t="s">
        <x:v>182</x:v>
      </x:c>
      <x:c r="C401" s="30" t="s">
        <x:v>497</x:v>
      </x:c>
      <x:c r="D401" s="30" t="s">
        <x:v>829</x:v>
      </x:c>
    </x:row>
    <x:row r="402" ht="114.75" hidden="0" customHeight="1">
      <x:c r="B402" s="31" t="s">
        <x:v>182</x:v>
      </x:c>
      <x:c r="C402" s="31" t="s">
        <x:v>499</x:v>
      </x:c>
      <x:c r="D402" s="31" t="s">
        <x:v>830</x:v>
      </x:c>
    </x:row>
    <x:row r="403" ht="43.5" hidden="0" customHeight="1">
      <x:c r="B403" s="32" t="s">
        <x:v>182</x:v>
      </x:c>
      <x:c r="C403" s="32" t="s">
        <x:v>501</x:v>
      </x:c>
      <x:c r="D403" s="32" t="s">
        <x:v>819</x:v>
      </x:c>
    </x:row>
    <x:row r="404" ht="186" hidden="0" customHeight="1">
      <x:c r="B404" s="31" t="s">
        <x:v>182</x:v>
      </x:c>
      <x:c r="C404" s="31" t="s">
        <x:v>503</x:v>
      </x:c>
      <x:c r="D404" s="31" t="s">
        <x:v>831</x:v>
      </x:c>
    </x:row>
    <x:row r="405" ht="129" hidden="0" customHeight="1">
      <x:c r="B405" s="32" t="s">
        <x:v>182</x:v>
      </x:c>
      <x:c r="C405" s="32" t="s">
        <x:v>505</x:v>
      </x:c>
      <x:c r="D405" s="32" t="s">
        <x:v>832</x:v>
      </x:c>
    </x:row>
    <x:row r="406" ht="129" hidden="0" customHeight="1">
      <x:c r="B406" s="32" t="s">
        <x:v>182</x:v>
      </x:c>
      <x:c r="C406" s="32" t="s">
        <x:v>507</x:v>
      </x:c>
      <x:c r="D406" s="32" t="s">
        <x:v>833</x:v>
      </x:c>
    </x:row>
    <x:row r="407" ht="43.5" hidden="0" customHeight="1">
      <x:c r="B407" s="31" t="s">
        <x:v>182</x:v>
      </x:c>
      <x:c r="C407" s="31" t="s">
        <x:v>509</x:v>
      </x:c>
      <x:c r="D407" s="31" t="s">
        <x:v>639</x:v>
      </x:c>
    </x:row>
    <x:row r="408" ht="34.5" hidden="0" customHeight="1">
      <x:c r="B408" s="30" t="s">
        <x:v>184</x:v>
      </x:c>
      <x:c r="C408" s="30" t="s">
        <x:v>497</x:v>
      </x:c>
      <x:c r="D408" s="30" t="s">
        <x:v>834</x:v>
      </x:c>
    </x:row>
    <x:row r="409" ht="57.75" hidden="0" customHeight="1">
      <x:c r="B409" s="31" t="s">
        <x:v>184</x:v>
      </x:c>
      <x:c r="C409" s="31" t="s">
        <x:v>499</x:v>
      </x:c>
      <x:c r="D409" s="31" t="s">
        <x:v>835</x:v>
      </x:c>
    </x:row>
    <x:row r="410" ht="43.5" hidden="0" customHeight="1">
      <x:c r="B410" s="32" t="s">
        <x:v>184</x:v>
      </x:c>
      <x:c r="C410" s="32" t="s">
        <x:v>501</x:v>
      </x:c>
      <x:c r="D410" s="32" t="s">
        <x:v>819</x:v>
      </x:c>
    </x:row>
    <x:row r="411" ht="129" hidden="0" customHeight="1">
      <x:c r="B411" s="31" t="s">
        <x:v>184</x:v>
      </x:c>
      <x:c r="C411" s="31" t="s">
        <x:v>503</x:v>
      </x:c>
      <x:c r="D411" s="31" t="s">
        <x:v>836</x:v>
      </x:c>
    </x:row>
    <x:row r="412" ht="72" hidden="0" customHeight="1">
      <x:c r="B412" s="32" t="s">
        <x:v>184</x:v>
      </x:c>
      <x:c r="C412" s="32" t="s">
        <x:v>505</x:v>
      </x:c>
      <x:c r="D412" s="32" t="s">
        <x:v>837</x:v>
      </x:c>
    </x:row>
    <x:row r="413" ht="72" hidden="0" customHeight="1">
      <x:c r="B413" s="32" t="s">
        <x:v>184</x:v>
      </x:c>
      <x:c r="C413" s="32" t="s">
        <x:v>507</x:v>
      </x:c>
      <x:c r="D413" s="32" t="s">
        <x:v>838</x:v>
      </x:c>
    </x:row>
    <x:row r="414" ht="43.5" hidden="0" customHeight="1">
      <x:c r="B414" s="31" t="s">
        <x:v>184</x:v>
      </x:c>
      <x:c r="C414" s="31" t="s">
        <x:v>509</x:v>
      </x:c>
      <x:c r="D414" s="31" t="s">
        <x:v>644</x:v>
      </x:c>
    </x:row>
    <x:row r="415" ht="34.5" hidden="0" customHeight="1">
      <x:c r="B415" s="30" t="s">
        <x:v>186</x:v>
      </x:c>
      <x:c r="C415" s="30" t="s">
        <x:v>497</x:v>
      </x:c>
      <x:c r="D415" s="30" t="s">
        <x:v>839</x:v>
      </x:c>
    </x:row>
    <x:row r="416" ht="129" hidden="0" customHeight="1">
      <x:c r="B416" s="31" t="s">
        <x:v>186</x:v>
      </x:c>
      <x:c r="C416" s="31" t="s">
        <x:v>499</x:v>
      </x:c>
      <x:c r="D416" s="31" t="s">
        <x:v>840</x:v>
      </x:c>
    </x:row>
    <x:row r="417" ht="43.5" hidden="0" customHeight="1">
      <x:c r="B417" s="32" t="s">
        <x:v>186</x:v>
      </x:c>
      <x:c r="C417" s="32" t="s">
        <x:v>501</x:v>
      </x:c>
      <x:c r="D417" s="32" t="s">
        <x:v>841</x:v>
      </x:c>
    </x:row>
    <x:row r="418" ht="171.75" hidden="0" customHeight="1">
      <x:c r="B418" s="31" t="s">
        <x:v>186</x:v>
      </x:c>
      <x:c r="C418" s="31" t="s">
        <x:v>503</x:v>
      </x:c>
      <x:c r="D418" s="31" t="s">
        <x:v>842</x:v>
      </x:c>
    </x:row>
    <x:row r="419" ht="100.5" hidden="0" customHeight="1">
      <x:c r="B419" s="32" t="s">
        <x:v>186</x:v>
      </x:c>
      <x:c r="C419" s="32" t="s">
        <x:v>505</x:v>
      </x:c>
      <x:c r="D419" s="32" t="s">
        <x:v>843</x:v>
      </x:c>
    </x:row>
    <x:row r="420" ht="100.5" hidden="0" customHeight="1">
      <x:c r="B420" s="32" t="s">
        <x:v>186</x:v>
      </x:c>
      <x:c r="C420" s="32" t="s">
        <x:v>507</x:v>
      </x:c>
      <x:c r="D420" s="32" t="s">
        <x:v>844</x:v>
      </x:c>
    </x:row>
    <x:row r="421" ht="43.5" hidden="0" customHeight="1">
      <x:c r="B421" s="31" t="s">
        <x:v>186</x:v>
      </x:c>
      <x:c r="C421" s="31" t="s">
        <x:v>509</x:v>
      </x:c>
      <x:c r="D421" s="31" t="s">
        <x:v>626</x:v>
      </x:c>
    </x:row>
    <x:row r="422" ht="43.5" hidden="0" customHeight="1">
      <x:c r="B422" s="30" t="s">
        <x:v>188</x:v>
      </x:c>
      <x:c r="C422" s="30" t="s">
        <x:v>497</x:v>
      </x:c>
      <x:c r="D422" s="30" t="s">
        <x:v>845</x:v>
      </x:c>
    </x:row>
    <x:row r="423" ht="114.75" hidden="0" customHeight="1">
      <x:c r="B423" s="31" t="s">
        <x:v>188</x:v>
      </x:c>
      <x:c r="C423" s="31" t="s">
        <x:v>499</x:v>
      </x:c>
      <x:c r="D423" s="31" t="s">
        <x:v>846</x:v>
      </x:c>
    </x:row>
    <x:row r="424" ht="43.5" hidden="0" customHeight="1">
      <x:c r="B424" s="32" t="s">
        <x:v>188</x:v>
      </x:c>
      <x:c r="C424" s="32" t="s">
        <x:v>501</x:v>
      </x:c>
      <x:c r="D424" s="32" t="s">
        <x:v>841</x:v>
      </x:c>
    </x:row>
    <x:row r="425" ht="186" hidden="0" customHeight="1">
      <x:c r="B425" s="31" t="s">
        <x:v>188</x:v>
      </x:c>
      <x:c r="C425" s="31" t="s">
        <x:v>503</x:v>
      </x:c>
      <x:c r="D425" s="31" t="s">
        <x:v>847</x:v>
      </x:c>
    </x:row>
    <x:row r="426" ht="157.5" hidden="0" customHeight="1">
      <x:c r="B426" s="32" t="s">
        <x:v>188</x:v>
      </x:c>
      <x:c r="C426" s="32" t="s">
        <x:v>505</x:v>
      </x:c>
      <x:c r="D426" s="32" t="s">
        <x:v>848</x:v>
      </x:c>
    </x:row>
    <x:row r="427" ht="157.5" hidden="0" customHeight="1">
      <x:c r="B427" s="32" t="s">
        <x:v>188</x:v>
      </x:c>
      <x:c r="C427" s="32" t="s">
        <x:v>507</x:v>
      </x:c>
      <x:c r="D427" s="32" t="s">
        <x:v>849</x:v>
      </x:c>
    </x:row>
    <x:row r="428" ht="90" hidden="0" customHeight="1">
      <x:c r="B428" s="32" t="s">
        <x:v>188</x:v>
      </x:c>
      <x:c r="C428" s="32" t="s">
        <x:v>517</x:v>
      </x:c>
      <x:c r="D428" s="32" t="s">
        <x:v>850</x:v>
      </x:c>
    </x:row>
    <x:row r="429" ht="57.75" hidden="0" customHeight="1">
      <x:c r="B429" s="31" t="s">
        <x:v>188</x:v>
      </x:c>
      <x:c r="C429" s="31" t="s">
        <x:v>509</x:v>
      </x:c>
      <x:c r="D429" s="31" t="s">
        <x:v>633</x:v>
      </x:c>
    </x:row>
    <x:row r="430" ht="43.5" hidden="0" customHeight="1">
      <x:c r="B430" s="30" t="s">
        <x:v>190</x:v>
      </x:c>
      <x:c r="C430" s="30" t="s">
        <x:v>497</x:v>
      </x:c>
      <x:c r="D430" s="30" t="s">
        <x:v>851</x:v>
      </x:c>
    </x:row>
    <x:row r="431" ht="114.75" hidden="0" customHeight="1">
      <x:c r="B431" s="31" t="s">
        <x:v>190</x:v>
      </x:c>
      <x:c r="C431" s="31" t="s">
        <x:v>499</x:v>
      </x:c>
      <x:c r="D431" s="31" t="s">
        <x:v>852</x:v>
      </x:c>
    </x:row>
    <x:row r="432" ht="43.5" hidden="0" customHeight="1">
      <x:c r="B432" s="32" t="s">
        <x:v>190</x:v>
      </x:c>
      <x:c r="C432" s="32" t="s">
        <x:v>501</x:v>
      </x:c>
      <x:c r="D432" s="32" t="s">
        <x:v>841</x:v>
      </x:c>
    </x:row>
    <x:row r="433" ht="186" hidden="0" customHeight="1">
      <x:c r="B433" s="31" t="s">
        <x:v>190</x:v>
      </x:c>
      <x:c r="C433" s="31" t="s">
        <x:v>503</x:v>
      </x:c>
      <x:c r="D433" s="31" t="s">
        <x:v>853</x:v>
      </x:c>
    </x:row>
    <x:row r="434" ht="129" hidden="0" customHeight="1">
      <x:c r="B434" s="32" t="s">
        <x:v>190</x:v>
      </x:c>
      <x:c r="C434" s="32" t="s">
        <x:v>505</x:v>
      </x:c>
      <x:c r="D434" s="32" t="s">
        <x:v>854</x:v>
      </x:c>
    </x:row>
    <x:row r="435" ht="129" hidden="0" customHeight="1">
      <x:c r="B435" s="32" t="s">
        <x:v>190</x:v>
      </x:c>
      <x:c r="C435" s="32" t="s">
        <x:v>507</x:v>
      </x:c>
      <x:c r="D435" s="32" t="s">
        <x:v>855</x:v>
      </x:c>
    </x:row>
    <x:row r="436" ht="43.5" hidden="0" customHeight="1">
      <x:c r="B436" s="31" t="s">
        <x:v>190</x:v>
      </x:c>
      <x:c r="C436" s="31" t="s">
        <x:v>509</x:v>
      </x:c>
      <x:c r="D436" s="31" t="s">
        <x:v>639</x:v>
      </x:c>
    </x:row>
    <x:row r="437" ht="34.5" hidden="0" customHeight="1">
      <x:c r="B437" s="30" t="s">
        <x:v>192</x:v>
      </x:c>
      <x:c r="C437" s="30" t="s">
        <x:v>497</x:v>
      </x:c>
      <x:c r="D437" s="30" t="s">
        <x:v>856</x:v>
      </x:c>
    </x:row>
    <x:row r="438" ht="57.75" hidden="0" customHeight="1">
      <x:c r="B438" s="31" t="s">
        <x:v>192</x:v>
      </x:c>
      <x:c r="C438" s="31" t="s">
        <x:v>499</x:v>
      </x:c>
      <x:c r="D438" s="31" t="s">
        <x:v>857</x:v>
      </x:c>
    </x:row>
    <x:row r="439" ht="43.5" hidden="0" customHeight="1">
      <x:c r="B439" s="32" t="s">
        <x:v>192</x:v>
      </x:c>
      <x:c r="C439" s="32" t="s">
        <x:v>501</x:v>
      </x:c>
      <x:c r="D439" s="32" t="s">
        <x:v>841</x:v>
      </x:c>
    </x:row>
    <x:row r="440" ht="129" hidden="0" customHeight="1">
      <x:c r="B440" s="31" t="s">
        <x:v>192</x:v>
      </x:c>
      <x:c r="C440" s="31" t="s">
        <x:v>503</x:v>
      </x:c>
      <x:c r="D440" s="31" t="s">
        <x:v>858</x:v>
      </x:c>
    </x:row>
    <x:row r="441" ht="72" hidden="0" customHeight="1">
      <x:c r="B441" s="32" t="s">
        <x:v>192</x:v>
      </x:c>
      <x:c r="C441" s="32" t="s">
        <x:v>505</x:v>
      </x:c>
      <x:c r="D441" s="32" t="s">
        <x:v>859</x:v>
      </x:c>
    </x:row>
    <x:row r="442" ht="72" hidden="0" customHeight="1">
      <x:c r="B442" s="32" t="s">
        <x:v>192</x:v>
      </x:c>
      <x:c r="C442" s="32" t="s">
        <x:v>507</x:v>
      </x:c>
      <x:c r="D442" s="32" t="s">
        <x:v>860</x:v>
      </x:c>
    </x:row>
    <x:row r="443" ht="43.5" hidden="0" customHeight="1">
      <x:c r="B443" s="31" t="s">
        <x:v>192</x:v>
      </x:c>
      <x:c r="C443" s="31" t="s">
        <x:v>509</x:v>
      </x:c>
      <x:c r="D443" s="31" t="s">
        <x:v>644</x:v>
      </x:c>
    </x:row>
    <x:row r="444" ht="34.5" hidden="0" customHeight="1">
      <x:c r="B444" s="30" t="s">
        <x:v>194</x:v>
      </x:c>
      <x:c r="C444" s="30" t="s">
        <x:v>497</x:v>
      </x:c>
      <x:c r="D444" s="30" t="s">
        <x:v>861</x:v>
      </x:c>
    </x:row>
    <x:row r="445" ht="114.75" hidden="0" customHeight="1">
      <x:c r="B445" s="31" t="s">
        <x:v>194</x:v>
      </x:c>
      <x:c r="C445" s="31" t="s">
        <x:v>499</x:v>
      </x:c>
      <x:c r="D445" s="31" t="s">
        <x:v>862</x:v>
      </x:c>
    </x:row>
    <x:row r="446" ht="43.5" hidden="0" customHeight="1">
      <x:c r="B446" s="32" t="s">
        <x:v>194</x:v>
      </x:c>
      <x:c r="C446" s="32" t="s">
        <x:v>501</x:v>
      </x:c>
      <x:c r="D446" s="32" t="s">
        <x:v>863</x:v>
      </x:c>
    </x:row>
    <x:row r="447" ht="171.75" hidden="0" customHeight="1">
      <x:c r="B447" s="31" t="s">
        <x:v>194</x:v>
      </x:c>
      <x:c r="C447" s="31" t="s">
        <x:v>503</x:v>
      </x:c>
      <x:c r="D447" s="31" t="s">
        <x:v>864</x:v>
      </x:c>
    </x:row>
    <x:row r="448" ht="100.5" hidden="0" customHeight="1">
      <x:c r="B448" s="32" t="s">
        <x:v>194</x:v>
      </x:c>
      <x:c r="C448" s="32" t="s">
        <x:v>505</x:v>
      </x:c>
      <x:c r="D448" s="32" t="s">
        <x:v>865</x:v>
      </x:c>
    </x:row>
    <x:row r="449" ht="100.5" hidden="0" customHeight="1">
      <x:c r="B449" s="32" t="s">
        <x:v>194</x:v>
      </x:c>
      <x:c r="C449" s="32" t="s">
        <x:v>507</x:v>
      </x:c>
      <x:c r="D449" s="32" t="s">
        <x:v>866</x:v>
      </x:c>
    </x:row>
    <x:row r="450" ht="43.5" hidden="0" customHeight="1">
      <x:c r="B450" s="31" t="s">
        <x:v>194</x:v>
      </x:c>
      <x:c r="C450" s="31" t="s">
        <x:v>509</x:v>
      </x:c>
      <x:c r="D450" s="31" t="s">
        <x:v>626</x:v>
      </x:c>
    </x:row>
    <x:row r="451" ht="43.5" hidden="0" customHeight="1">
      <x:c r="B451" s="30" t="s">
        <x:v>196</x:v>
      </x:c>
      <x:c r="C451" s="30" t="s">
        <x:v>497</x:v>
      </x:c>
      <x:c r="D451" s="30" t="s">
        <x:v>867</x:v>
      </x:c>
    </x:row>
    <x:row r="452" ht="114.75" hidden="0" customHeight="1">
      <x:c r="B452" s="31" t="s">
        <x:v>196</x:v>
      </x:c>
      <x:c r="C452" s="31" t="s">
        <x:v>499</x:v>
      </x:c>
      <x:c r="D452" s="31" t="s">
        <x:v>868</x:v>
      </x:c>
    </x:row>
    <x:row r="453" ht="43.5" hidden="0" customHeight="1">
      <x:c r="B453" s="32" t="s">
        <x:v>196</x:v>
      </x:c>
      <x:c r="C453" s="32" t="s">
        <x:v>501</x:v>
      </x:c>
      <x:c r="D453" s="32" t="s">
        <x:v>863</x:v>
      </x:c>
    </x:row>
    <x:row r="454" ht="186" hidden="0" customHeight="1">
      <x:c r="B454" s="31" t="s">
        <x:v>196</x:v>
      </x:c>
      <x:c r="C454" s="31" t="s">
        <x:v>503</x:v>
      </x:c>
      <x:c r="D454" s="31" t="s">
        <x:v>869</x:v>
      </x:c>
    </x:row>
    <x:row r="455" ht="143.25" hidden="0" customHeight="1">
      <x:c r="B455" s="32" t="s">
        <x:v>196</x:v>
      </x:c>
      <x:c r="C455" s="32" t="s">
        <x:v>505</x:v>
      </x:c>
      <x:c r="D455" s="32" t="s">
        <x:v>870</x:v>
      </x:c>
    </x:row>
    <x:row r="456" ht="143.25" hidden="0" customHeight="1">
      <x:c r="B456" s="32" t="s">
        <x:v>196</x:v>
      </x:c>
      <x:c r="C456" s="32" t="s">
        <x:v>507</x:v>
      </x:c>
      <x:c r="D456" s="32" t="s">
        <x:v>871</x:v>
      </x:c>
    </x:row>
    <x:row r="457" ht="90" hidden="0" customHeight="1">
      <x:c r="B457" s="32" t="s">
        <x:v>196</x:v>
      </x:c>
      <x:c r="C457" s="32" t="s">
        <x:v>517</x:v>
      </x:c>
      <x:c r="D457" s="32" t="s">
        <x:v>872</x:v>
      </x:c>
    </x:row>
    <x:row r="458" ht="57.75" hidden="0" customHeight="1">
      <x:c r="B458" s="31" t="s">
        <x:v>196</x:v>
      </x:c>
      <x:c r="C458" s="31" t="s">
        <x:v>509</x:v>
      </x:c>
      <x:c r="D458" s="31" t="s">
        <x:v>633</x:v>
      </x:c>
    </x:row>
    <x:row r="459" ht="43.5" hidden="0" customHeight="1">
      <x:c r="B459" s="30" t="s">
        <x:v>198</x:v>
      </x:c>
      <x:c r="C459" s="30" t="s">
        <x:v>497</x:v>
      </x:c>
      <x:c r="D459" s="30" t="s">
        <x:v>873</x:v>
      </x:c>
    </x:row>
    <x:row r="460" ht="114.75" hidden="0" customHeight="1">
      <x:c r="B460" s="31" t="s">
        <x:v>198</x:v>
      </x:c>
      <x:c r="C460" s="31" t="s">
        <x:v>499</x:v>
      </x:c>
      <x:c r="D460" s="31" t="s">
        <x:v>874</x:v>
      </x:c>
    </x:row>
    <x:row r="461" ht="43.5" hidden="0" customHeight="1">
      <x:c r="B461" s="32" t="s">
        <x:v>198</x:v>
      </x:c>
      <x:c r="C461" s="32" t="s">
        <x:v>501</x:v>
      </x:c>
      <x:c r="D461" s="32" t="s">
        <x:v>863</x:v>
      </x:c>
    </x:row>
    <x:row r="462" ht="186" hidden="0" customHeight="1">
      <x:c r="B462" s="31" t="s">
        <x:v>198</x:v>
      </x:c>
      <x:c r="C462" s="31" t="s">
        <x:v>503</x:v>
      </x:c>
      <x:c r="D462" s="31" t="s">
        <x:v>875</x:v>
      </x:c>
    </x:row>
    <x:row r="463" ht="129" hidden="0" customHeight="1">
      <x:c r="B463" s="32" t="s">
        <x:v>198</x:v>
      </x:c>
      <x:c r="C463" s="32" t="s">
        <x:v>505</x:v>
      </x:c>
      <x:c r="D463" s="32" t="s">
        <x:v>876</x:v>
      </x:c>
    </x:row>
    <x:row r="464" ht="129" hidden="0" customHeight="1">
      <x:c r="B464" s="32" t="s">
        <x:v>198</x:v>
      </x:c>
      <x:c r="C464" s="32" t="s">
        <x:v>507</x:v>
      </x:c>
      <x:c r="D464" s="32" t="s">
        <x:v>877</x:v>
      </x:c>
    </x:row>
    <x:row r="465" ht="43.5" hidden="0" customHeight="1">
      <x:c r="B465" s="31" t="s">
        <x:v>198</x:v>
      </x:c>
      <x:c r="C465" s="31" t="s">
        <x:v>509</x:v>
      </x:c>
      <x:c r="D465" s="31" t="s">
        <x:v>639</x:v>
      </x:c>
    </x:row>
    <x:row r="466" ht="43.5" hidden="0" customHeight="1">
      <x:c r="B466" s="30" t="s">
        <x:v>200</x:v>
      </x:c>
      <x:c r="C466" s="30" t="s">
        <x:v>497</x:v>
      </x:c>
      <x:c r="D466" s="30" t="s">
        <x:v>878</x:v>
      </x:c>
    </x:row>
    <x:row r="467" ht="72" hidden="0" customHeight="1">
      <x:c r="B467" s="31" t="s">
        <x:v>200</x:v>
      </x:c>
      <x:c r="C467" s="31" t="s">
        <x:v>499</x:v>
      </x:c>
      <x:c r="D467" s="31" t="s">
        <x:v>879</x:v>
      </x:c>
    </x:row>
    <x:row r="468" ht="43.5" hidden="0" customHeight="1">
      <x:c r="B468" s="32" t="s">
        <x:v>200</x:v>
      </x:c>
      <x:c r="C468" s="32" t="s">
        <x:v>501</x:v>
      </x:c>
      <x:c r="D468" s="32" t="s">
        <x:v>863</x:v>
      </x:c>
    </x:row>
    <x:row r="469" ht="129" hidden="0" customHeight="1">
      <x:c r="B469" s="31" t="s">
        <x:v>200</x:v>
      </x:c>
      <x:c r="C469" s="31" t="s">
        <x:v>503</x:v>
      </x:c>
      <x:c r="D469" s="31" t="s">
        <x:v>880</x:v>
      </x:c>
    </x:row>
    <x:row r="470" ht="72" hidden="0" customHeight="1">
      <x:c r="B470" s="32" t="s">
        <x:v>200</x:v>
      </x:c>
      <x:c r="C470" s="32" t="s">
        <x:v>505</x:v>
      </x:c>
      <x:c r="D470" s="32" t="s">
        <x:v>881</x:v>
      </x:c>
    </x:row>
    <x:row r="471" ht="72" hidden="0" customHeight="1">
      <x:c r="B471" s="32" t="s">
        <x:v>200</x:v>
      </x:c>
      <x:c r="C471" s="32" t="s">
        <x:v>507</x:v>
      </x:c>
      <x:c r="D471" s="32" t="s">
        <x:v>882</x:v>
      </x:c>
    </x:row>
    <x:row r="472" ht="43.5" hidden="0" customHeight="1">
      <x:c r="B472" s="31" t="s">
        <x:v>200</x:v>
      </x:c>
      <x:c r="C472" s="31" t="s">
        <x:v>509</x:v>
      </x:c>
      <x:c r="D472" s="31" t="s">
        <x:v>711</x:v>
      </x:c>
    </x:row>
    <x:row r="473" ht="34.5" hidden="0" customHeight="1">
      <x:c r="B473" s="30" t="s">
        <x:v>202</x:v>
      </x:c>
      <x:c r="C473" s="30" t="s">
        <x:v>497</x:v>
      </x:c>
      <x:c r="D473" s="30" t="s">
        <x:v>203</x:v>
      </x:c>
    </x:row>
    <x:row r="474" ht="114.75" hidden="0" customHeight="1">
      <x:c r="B474" s="31" t="s">
        <x:v>202</x:v>
      </x:c>
      <x:c r="C474" s="31" t="s">
        <x:v>499</x:v>
      </x:c>
      <x:c r="D474" s="31" t="s">
        <x:v>883</x:v>
      </x:c>
    </x:row>
    <x:row r="475" ht="43.5" hidden="0" customHeight="1">
      <x:c r="B475" s="32" t="s">
        <x:v>202</x:v>
      </x:c>
      <x:c r="C475" s="32" t="s">
        <x:v>501</x:v>
      </x:c>
      <x:c r="D475" s="32" t="s">
        <x:v>884</x:v>
      </x:c>
    </x:row>
    <x:row r="476" ht="171.75" hidden="0" customHeight="1">
      <x:c r="B476" s="31" t="s">
        <x:v>202</x:v>
      </x:c>
      <x:c r="C476" s="31" t="s">
        <x:v>503</x:v>
      </x:c>
      <x:c r="D476" s="31" t="s">
        <x:v>885</x:v>
      </x:c>
    </x:row>
    <x:row r="477" ht="114.75" hidden="0" customHeight="1">
      <x:c r="B477" s="32" t="s">
        <x:v>202</x:v>
      </x:c>
      <x:c r="C477" s="32" t="s">
        <x:v>505</x:v>
      </x:c>
      <x:c r="D477" s="32" t="s">
        <x:v>886</x:v>
      </x:c>
    </x:row>
    <x:row r="478" ht="114.75" hidden="0" customHeight="1">
      <x:c r="B478" s="32" t="s">
        <x:v>202</x:v>
      </x:c>
      <x:c r="C478" s="32" t="s">
        <x:v>507</x:v>
      </x:c>
      <x:c r="D478" s="32" t="s">
        <x:v>887</x:v>
      </x:c>
    </x:row>
    <x:row r="479" ht="43.5" hidden="0" customHeight="1">
      <x:c r="B479" s="31" t="s">
        <x:v>202</x:v>
      </x:c>
      <x:c r="C479" s="31" t="s">
        <x:v>509</x:v>
      </x:c>
      <x:c r="D479" s="31" t="s">
        <x:v>626</x:v>
      </x:c>
    </x:row>
    <x:row r="480" ht="43.5" hidden="0" customHeight="1">
      <x:c r="B480" s="30" t="s">
        <x:v>204</x:v>
      </x:c>
      <x:c r="C480" s="30" t="s">
        <x:v>497</x:v>
      </x:c>
      <x:c r="D480" s="30" t="s">
        <x:v>888</x:v>
      </x:c>
    </x:row>
    <x:row r="481" ht="114.75" hidden="0" customHeight="1">
      <x:c r="B481" s="31" t="s">
        <x:v>204</x:v>
      </x:c>
      <x:c r="C481" s="31" t="s">
        <x:v>499</x:v>
      </x:c>
      <x:c r="D481" s="31" t="s">
        <x:v>889</x:v>
      </x:c>
    </x:row>
    <x:row r="482" ht="43.5" hidden="0" customHeight="1">
      <x:c r="B482" s="32" t="s">
        <x:v>204</x:v>
      </x:c>
      <x:c r="C482" s="32" t="s">
        <x:v>501</x:v>
      </x:c>
      <x:c r="D482" s="32" t="s">
        <x:v>884</x:v>
      </x:c>
    </x:row>
    <x:row r="483" ht="186" hidden="0" customHeight="1">
      <x:c r="B483" s="31" t="s">
        <x:v>204</x:v>
      </x:c>
      <x:c r="C483" s="31" t="s">
        <x:v>503</x:v>
      </x:c>
      <x:c r="D483" s="31" t="s">
        <x:v>890</x:v>
      </x:c>
    </x:row>
    <x:row r="484" ht="143.25" hidden="0" customHeight="1">
      <x:c r="B484" s="32" t="s">
        <x:v>204</x:v>
      </x:c>
      <x:c r="C484" s="32" t="s">
        <x:v>505</x:v>
      </x:c>
      <x:c r="D484" s="32" t="s">
        <x:v>891</x:v>
      </x:c>
    </x:row>
    <x:row r="485" ht="143.25" hidden="0" customHeight="1">
      <x:c r="B485" s="32" t="s">
        <x:v>204</x:v>
      </x:c>
      <x:c r="C485" s="32" t="s">
        <x:v>507</x:v>
      </x:c>
      <x:c r="D485" s="32" t="s">
        <x:v>892</x:v>
      </x:c>
    </x:row>
    <x:row r="486" ht="90" hidden="0" customHeight="1">
      <x:c r="B486" s="32" t="s">
        <x:v>204</x:v>
      </x:c>
      <x:c r="C486" s="32" t="s">
        <x:v>517</x:v>
      </x:c>
      <x:c r="D486" s="32" t="s">
        <x:v>893</x:v>
      </x:c>
    </x:row>
    <x:row r="487" ht="57.75" hidden="0" customHeight="1">
      <x:c r="B487" s="31" t="s">
        <x:v>204</x:v>
      </x:c>
      <x:c r="C487" s="31" t="s">
        <x:v>509</x:v>
      </x:c>
      <x:c r="D487" s="31" t="s">
        <x:v>633</x:v>
      </x:c>
    </x:row>
    <x:row r="488" ht="43.5" hidden="0" customHeight="1">
      <x:c r="B488" s="30" t="s">
        <x:v>206</x:v>
      </x:c>
      <x:c r="C488" s="30" t="s">
        <x:v>497</x:v>
      </x:c>
      <x:c r="D488" s="30" t="s">
        <x:v>894</x:v>
      </x:c>
    </x:row>
    <x:row r="489" ht="114.75" hidden="0" customHeight="1">
      <x:c r="B489" s="31" t="s">
        <x:v>206</x:v>
      </x:c>
      <x:c r="C489" s="31" t="s">
        <x:v>499</x:v>
      </x:c>
      <x:c r="D489" s="31" t="s">
        <x:v>895</x:v>
      </x:c>
    </x:row>
    <x:row r="490" ht="43.5" hidden="0" customHeight="1">
      <x:c r="B490" s="32" t="s">
        <x:v>206</x:v>
      </x:c>
      <x:c r="C490" s="32" t="s">
        <x:v>501</x:v>
      </x:c>
      <x:c r="D490" s="32" t="s">
        <x:v>884</x:v>
      </x:c>
    </x:row>
    <x:row r="491" ht="186" hidden="0" customHeight="1">
      <x:c r="B491" s="31" t="s">
        <x:v>206</x:v>
      </x:c>
      <x:c r="C491" s="31" t="s">
        <x:v>503</x:v>
      </x:c>
      <x:c r="D491" s="31" t="s">
        <x:v>896</x:v>
      </x:c>
    </x:row>
    <x:row r="492" ht="129" hidden="0" customHeight="1">
      <x:c r="B492" s="32" t="s">
        <x:v>206</x:v>
      </x:c>
      <x:c r="C492" s="32" t="s">
        <x:v>505</x:v>
      </x:c>
      <x:c r="D492" s="32" t="s">
        <x:v>897</x:v>
      </x:c>
    </x:row>
    <x:row r="493" ht="129" hidden="0" customHeight="1">
      <x:c r="B493" s="32" t="s">
        <x:v>206</x:v>
      </x:c>
      <x:c r="C493" s="32" t="s">
        <x:v>507</x:v>
      </x:c>
      <x:c r="D493" s="32" t="s">
        <x:v>898</x:v>
      </x:c>
    </x:row>
    <x:row r="494" ht="43.5" hidden="0" customHeight="1">
      <x:c r="B494" s="31" t="s">
        <x:v>206</x:v>
      </x:c>
      <x:c r="C494" s="31" t="s">
        <x:v>509</x:v>
      </x:c>
      <x:c r="D494" s="31" t="s">
        <x:v>639</x:v>
      </x:c>
    </x:row>
    <x:row r="495" ht="34.5" hidden="0" customHeight="1">
      <x:c r="B495" s="30" t="s">
        <x:v>208</x:v>
      </x:c>
      <x:c r="C495" s="30" t="s">
        <x:v>497</x:v>
      </x:c>
      <x:c r="D495" s="30" t="s">
        <x:v>899</x:v>
      </x:c>
    </x:row>
    <x:row r="496" ht="57.75" hidden="0" customHeight="1">
      <x:c r="B496" s="31" t="s">
        <x:v>208</x:v>
      </x:c>
      <x:c r="C496" s="31" t="s">
        <x:v>499</x:v>
      </x:c>
      <x:c r="D496" s="31" t="s">
        <x:v>900</x:v>
      </x:c>
    </x:row>
    <x:row r="497" ht="43.5" hidden="0" customHeight="1">
      <x:c r="B497" s="32" t="s">
        <x:v>208</x:v>
      </x:c>
      <x:c r="C497" s="32" t="s">
        <x:v>501</x:v>
      </x:c>
      <x:c r="D497" s="32" t="s">
        <x:v>884</x:v>
      </x:c>
    </x:row>
    <x:row r="498" ht="129" hidden="0" customHeight="1">
      <x:c r="B498" s="31" t="s">
        <x:v>208</x:v>
      </x:c>
      <x:c r="C498" s="31" t="s">
        <x:v>503</x:v>
      </x:c>
      <x:c r="D498" s="31" t="s">
        <x:v>901</x:v>
      </x:c>
    </x:row>
    <x:row r="499" ht="72" hidden="0" customHeight="1">
      <x:c r="B499" s="32" t="s">
        <x:v>208</x:v>
      </x:c>
      <x:c r="C499" s="32" t="s">
        <x:v>505</x:v>
      </x:c>
      <x:c r="D499" s="32" t="s">
        <x:v>902</x:v>
      </x:c>
    </x:row>
    <x:row r="500" ht="72" hidden="0" customHeight="1">
      <x:c r="B500" s="32" t="s">
        <x:v>208</x:v>
      </x:c>
      <x:c r="C500" s="32" t="s">
        <x:v>507</x:v>
      </x:c>
      <x:c r="D500" s="32" t="s">
        <x:v>903</x:v>
      </x:c>
    </x:row>
    <x:row r="501" ht="43.5" hidden="0" customHeight="1">
      <x:c r="B501" s="31" t="s">
        <x:v>208</x:v>
      </x:c>
      <x:c r="C501" s="31" t="s">
        <x:v>509</x:v>
      </x:c>
      <x:c r="D501" s="31" t="s">
        <x:v>644</x:v>
      </x:c>
    </x:row>
    <x:row r="502" ht="34.5" hidden="0" customHeight="1">
      <x:c r="B502" s="30" t="s">
        <x:v>210</x:v>
      </x:c>
      <x:c r="C502" s="30" t="s">
        <x:v>497</x:v>
      </x:c>
      <x:c r="D502" s="30" t="s">
        <x:v>904</x:v>
      </x:c>
    </x:row>
    <x:row r="503" ht="114.75" hidden="0" customHeight="1">
      <x:c r="B503" s="31" t="s">
        <x:v>210</x:v>
      </x:c>
      <x:c r="C503" s="31" t="s">
        <x:v>499</x:v>
      </x:c>
      <x:c r="D503" s="31" t="s">
        <x:v>905</x:v>
      </x:c>
    </x:row>
    <x:row r="504" ht="43.5" hidden="0" customHeight="1">
      <x:c r="B504" s="32" t="s">
        <x:v>210</x:v>
      </x:c>
      <x:c r="C504" s="32" t="s">
        <x:v>501</x:v>
      </x:c>
      <x:c r="D504" s="32" t="s">
        <x:v>906</x:v>
      </x:c>
    </x:row>
    <x:row r="505" ht="157.5" hidden="0" customHeight="1">
      <x:c r="B505" s="31" t="s">
        <x:v>210</x:v>
      </x:c>
      <x:c r="C505" s="31" t="s">
        <x:v>503</x:v>
      </x:c>
      <x:c r="D505" s="31" t="s">
        <x:v>907</x:v>
      </x:c>
    </x:row>
    <x:row r="506" ht="100.5" hidden="0" customHeight="1">
      <x:c r="B506" s="32" t="s">
        <x:v>210</x:v>
      </x:c>
      <x:c r="C506" s="32" t="s">
        <x:v>505</x:v>
      </x:c>
      <x:c r="D506" s="32" t="s">
        <x:v>908</x:v>
      </x:c>
    </x:row>
    <x:row r="507" ht="100.5" hidden="0" customHeight="1">
      <x:c r="B507" s="32" t="s">
        <x:v>210</x:v>
      </x:c>
      <x:c r="C507" s="32" t="s">
        <x:v>507</x:v>
      </x:c>
      <x:c r="D507" s="32" t="s">
        <x:v>909</x:v>
      </x:c>
    </x:row>
    <x:row r="508" ht="43.5" hidden="0" customHeight="1">
      <x:c r="B508" s="31" t="s">
        <x:v>210</x:v>
      </x:c>
      <x:c r="C508" s="31" t="s">
        <x:v>509</x:v>
      </x:c>
      <x:c r="D508" s="31" t="s">
        <x:v>626</x:v>
      </x:c>
    </x:row>
    <x:row r="509" ht="43.5" hidden="0" customHeight="1">
      <x:c r="B509" s="30" t="s">
        <x:v>212</x:v>
      </x:c>
      <x:c r="C509" s="30" t="s">
        <x:v>497</x:v>
      </x:c>
      <x:c r="D509" s="30" t="s">
        <x:v>910</x:v>
      </x:c>
    </x:row>
    <x:row r="510" ht="100.5" hidden="0" customHeight="1">
      <x:c r="B510" s="31" t="s">
        <x:v>212</x:v>
      </x:c>
      <x:c r="C510" s="31" t="s">
        <x:v>499</x:v>
      </x:c>
      <x:c r="D510" s="31" t="s">
        <x:v>911</x:v>
      </x:c>
    </x:row>
    <x:row r="511" ht="43.5" hidden="0" customHeight="1">
      <x:c r="B511" s="32" t="s">
        <x:v>212</x:v>
      </x:c>
      <x:c r="C511" s="32" t="s">
        <x:v>501</x:v>
      </x:c>
      <x:c r="D511" s="32" t="s">
        <x:v>906</x:v>
      </x:c>
    </x:row>
    <x:row r="512" ht="171.75" hidden="0" customHeight="1">
      <x:c r="B512" s="31" t="s">
        <x:v>212</x:v>
      </x:c>
      <x:c r="C512" s="31" t="s">
        <x:v>503</x:v>
      </x:c>
      <x:c r="D512" s="31" t="s">
        <x:v>912</x:v>
      </x:c>
    </x:row>
    <x:row r="513" ht="143.25" hidden="0" customHeight="1">
      <x:c r="B513" s="32" t="s">
        <x:v>212</x:v>
      </x:c>
      <x:c r="C513" s="32" t="s">
        <x:v>505</x:v>
      </x:c>
      <x:c r="D513" s="32" t="s">
        <x:v>913</x:v>
      </x:c>
    </x:row>
    <x:row r="514" ht="143.25" hidden="0" customHeight="1">
      <x:c r="B514" s="32" t="s">
        <x:v>212</x:v>
      </x:c>
      <x:c r="C514" s="32" t="s">
        <x:v>507</x:v>
      </x:c>
      <x:c r="D514" s="32" t="s">
        <x:v>914</x:v>
      </x:c>
    </x:row>
    <x:row r="515" ht="90" hidden="0" customHeight="1">
      <x:c r="B515" s="32" t="s">
        <x:v>212</x:v>
      </x:c>
      <x:c r="C515" s="32" t="s">
        <x:v>517</x:v>
      </x:c>
      <x:c r="D515" s="32" t="s">
        <x:v>915</x:v>
      </x:c>
    </x:row>
    <x:row r="516" ht="57.75" hidden="0" customHeight="1">
      <x:c r="B516" s="31" t="s">
        <x:v>212</x:v>
      </x:c>
      <x:c r="C516" s="31" t="s">
        <x:v>509</x:v>
      </x:c>
      <x:c r="D516" s="31" t="s">
        <x:v>633</x:v>
      </x:c>
    </x:row>
    <x:row r="517" ht="43.5" hidden="0" customHeight="1">
      <x:c r="B517" s="30" t="s">
        <x:v>214</x:v>
      </x:c>
      <x:c r="C517" s="30" t="s">
        <x:v>497</x:v>
      </x:c>
      <x:c r="D517" s="30" t="s">
        <x:v>916</x:v>
      </x:c>
    </x:row>
    <x:row r="518" ht="114.75" hidden="0" customHeight="1">
      <x:c r="B518" s="31" t="s">
        <x:v>214</x:v>
      </x:c>
      <x:c r="C518" s="31" t="s">
        <x:v>499</x:v>
      </x:c>
      <x:c r="D518" s="31" t="s">
        <x:v>917</x:v>
      </x:c>
    </x:row>
    <x:row r="519" ht="43.5" hidden="0" customHeight="1">
      <x:c r="B519" s="32" t="s">
        <x:v>214</x:v>
      </x:c>
      <x:c r="C519" s="32" t="s">
        <x:v>501</x:v>
      </x:c>
      <x:c r="D519" s="32" t="s">
        <x:v>906</x:v>
      </x:c>
    </x:row>
    <x:row r="520" ht="186" hidden="0" customHeight="1">
      <x:c r="B520" s="31" t="s">
        <x:v>214</x:v>
      </x:c>
      <x:c r="C520" s="31" t="s">
        <x:v>503</x:v>
      </x:c>
      <x:c r="D520" s="31" t="s">
        <x:v>918</x:v>
      </x:c>
    </x:row>
    <x:row r="521" ht="129" hidden="0" customHeight="1">
      <x:c r="B521" s="32" t="s">
        <x:v>214</x:v>
      </x:c>
      <x:c r="C521" s="32" t="s">
        <x:v>505</x:v>
      </x:c>
      <x:c r="D521" s="32" t="s">
        <x:v>919</x:v>
      </x:c>
    </x:row>
    <x:row r="522" ht="129" hidden="0" customHeight="1">
      <x:c r="B522" s="32" t="s">
        <x:v>214</x:v>
      </x:c>
      <x:c r="C522" s="32" t="s">
        <x:v>507</x:v>
      </x:c>
      <x:c r="D522" s="32" t="s">
        <x:v>920</x:v>
      </x:c>
    </x:row>
    <x:row r="523" ht="43.5" hidden="0" customHeight="1">
      <x:c r="B523" s="31" t="s">
        <x:v>214</x:v>
      </x:c>
      <x:c r="C523" s="31" t="s">
        <x:v>509</x:v>
      </x:c>
      <x:c r="D523" s="31" t="s">
        <x:v>639</x:v>
      </x:c>
    </x:row>
    <x:row r="524" ht="34.5" hidden="0" customHeight="1">
      <x:c r="B524" s="30" t="s">
        <x:v>216</x:v>
      </x:c>
      <x:c r="C524" s="30" t="s">
        <x:v>497</x:v>
      </x:c>
      <x:c r="D524" s="30" t="s">
        <x:v>921</x:v>
      </x:c>
    </x:row>
    <x:row r="525" ht="57.75" hidden="0" customHeight="1">
      <x:c r="B525" s="31" t="s">
        <x:v>216</x:v>
      </x:c>
      <x:c r="C525" s="31" t="s">
        <x:v>499</x:v>
      </x:c>
      <x:c r="D525" s="31" t="s">
        <x:v>922</x:v>
      </x:c>
    </x:row>
    <x:row r="526" ht="43.5" hidden="0" customHeight="1">
      <x:c r="B526" s="32" t="s">
        <x:v>216</x:v>
      </x:c>
      <x:c r="C526" s="32" t="s">
        <x:v>501</x:v>
      </x:c>
      <x:c r="D526" s="32" t="s">
        <x:v>906</x:v>
      </x:c>
    </x:row>
    <x:row r="527" ht="129" hidden="0" customHeight="1">
      <x:c r="B527" s="31" t="s">
        <x:v>216</x:v>
      </x:c>
      <x:c r="C527" s="31" t="s">
        <x:v>503</x:v>
      </x:c>
      <x:c r="D527" s="31" t="s">
        <x:v>923</x:v>
      </x:c>
    </x:row>
    <x:row r="528" ht="72" hidden="0" customHeight="1">
      <x:c r="B528" s="32" t="s">
        <x:v>216</x:v>
      </x:c>
      <x:c r="C528" s="32" t="s">
        <x:v>505</x:v>
      </x:c>
      <x:c r="D528" s="32" t="s">
        <x:v>924</x:v>
      </x:c>
    </x:row>
    <x:row r="529" ht="72" hidden="0" customHeight="1">
      <x:c r="B529" s="32" t="s">
        <x:v>216</x:v>
      </x:c>
      <x:c r="C529" s="32" t="s">
        <x:v>507</x:v>
      </x:c>
      <x:c r="D529" s="32" t="s">
        <x:v>925</x:v>
      </x:c>
    </x:row>
    <x:row r="530" ht="43.5" hidden="0" customHeight="1">
      <x:c r="B530" s="31" t="s">
        <x:v>216</x:v>
      </x:c>
      <x:c r="C530" s="31" t="s">
        <x:v>509</x:v>
      </x:c>
      <x:c r="D530" s="31" t="s">
        <x:v>644</x:v>
      </x:c>
    </x:row>
    <x:row r="531" ht="34.5" hidden="0" customHeight="1">
      <x:c r="B531" s="30" t="s">
        <x:v>218</x:v>
      </x:c>
      <x:c r="C531" s="30" t="s">
        <x:v>497</x:v>
      </x:c>
      <x:c r="D531" s="30" t="s">
        <x:v>926</x:v>
      </x:c>
    </x:row>
    <x:row r="532" ht="114.75" hidden="0" customHeight="1">
      <x:c r="B532" s="31" t="s">
        <x:v>218</x:v>
      </x:c>
      <x:c r="C532" s="31" t="s">
        <x:v>499</x:v>
      </x:c>
      <x:c r="D532" s="31" t="s">
        <x:v>927</x:v>
      </x:c>
    </x:row>
    <x:row r="533" ht="43.5" hidden="0" customHeight="1">
      <x:c r="B533" s="32" t="s">
        <x:v>218</x:v>
      </x:c>
      <x:c r="C533" s="32" t="s">
        <x:v>501</x:v>
      </x:c>
      <x:c r="D533" s="32" t="s">
        <x:v>928</x:v>
      </x:c>
    </x:row>
    <x:row r="534" ht="157.5" hidden="0" customHeight="1">
      <x:c r="B534" s="31" t="s">
        <x:v>218</x:v>
      </x:c>
      <x:c r="C534" s="31" t="s">
        <x:v>503</x:v>
      </x:c>
      <x:c r="D534" s="31" t="s">
        <x:v>929</x:v>
      </x:c>
    </x:row>
    <x:row r="535" ht="100.5" hidden="0" customHeight="1">
      <x:c r="B535" s="32" t="s">
        <x:v>218</x:v>
      </x:c>
      <x:c r="C535" s="32" t="s">
        <x:v>505</x:v>
      </x:c>
      <x:c r="D535" s="32" t="s">
        <x:v>930</x:v>
      </x:c>
    </x:row>
    <x:row r="536" ht="100.5" hidden="0" customHeight="1">
      <x:c r="B536" s="32" t="s">
        <x:v>218</x:v>
      </x:c>
      <x:c r="C536" s="32" t="s">
        <x:v>507</x:v>
      </x:c>
      <x:c r="D536" s="32" t="s">
        <x:v>931</x:v>
      </x:c>
    </x:row>
    <x:row r="537" ht="43.5" hidden="0" customHeight="1">
      <x:c r="B537" s="31" t="s">
        <x:v>218</x:v>
      </x:c>
      <x:c r="C537" s="31" t="s">
        <x:v>509</x:v>
      </x:c>
      <x:c r="D537" s="31" t="s">
        <x:v>626</x:v>
      </x:c>
    </x:row>
    <x:row r="538" ht="43.5" hidden="0" customHeight="1">
      <x:c r="B538" s="30" t="s">
        <x:v>220</x:v>
      </x:c>
      <x:c r="C538" s="30" t="s">
        <x:v>497</x:v>
      </x:c>
      <x:c r="D538" s="30" t="s">
        <x:v>932</x:v>
      </x:c>
    </x:row>
    <x:row r="539" ht="100.5" hidden="0" customHeight="1">
      <x:c r="B539" s="31" t="s">
        <x:v>220</x:v>
      </x:c>
      <x:c r="C539" s="31" t="s">
        <x:v>499</x:v>
      </x:c>
      <x:c r="D539" s="31" t="s">
        <x:v>933</x:v>
      </x:c>
    </x:row>
    <x:row r="540" ht="43.5" hidden="0" customHeight="1">
      <x:c r="B540" s="32" t="s">
        <x:v>220</x:v>
      </x:c>
      <x:c r="C540" s="32" t="s">
        <x:v>501</x:v>
      </x:c>
      <x:c r="D540" s="32" t="s">
        <x:v>928</x:v>
      </x:c>
    </x:row>
    <x:row r="541" ht="171.75" hidden="0" customHeight="1">
      <x:c r="B541" s="31" t="s">
        <x:v>220</x:v>
      </x:c>
      <x:c r="C541" s="31" t="s">
        <x:v>503</x:v>
      </x:c>
      <x:c r="D541" s="31" t="s">
        <x:v>934</x:v>
      </x:c>
    </x:row>
    <x:row r="542" ht="143.25" hidden="0" customHeight="1">
      <x:c r="B542" s="32" t="s">
        <x:v>220</x:v>
      </x:c>
      <x:c r="C542" s="32" t="s">
        <x:v>505</x:v>
      </x:c>
      <x:c r="D542" s="32" t="s">
        <x:v>935</x:v>
      </x:c>
    </x:row>
    <x:row r="543" ht="143.25" hidden="0" customHeight="1">
      <x:c r="B543" s="32" t="s">
        <x:v>220</x:v>
      </x:c>
      <x:c r="C543" s="32" t="s">
        <x:v>507</x:v>
      </x:c>
      <x:c r="D543" s="32" t="s">
        <x:v>936</x:v>
      </x:c>
    </x:row>
    <x:row r="544" ht="90" hidden="0" customHeight="1">
      <x:c r="B544" s="32" t="s">
        <x:v>220</x:v>
      </x:c>
      <x:c r="C544" s="32" t="s">
        <x:v>517</x:v>
      </x:c>
      <x:c r="D544" s="32" t="s">
        <x:v>937</x:v>
      </x:c>
    </x:row>
    <x:row r="545" ht="57.75" hidden="0" customHeight="1">
      <x:c r="B545" s="31" t="s">
        <x:v>220</x:v>
      </x:c>
      <x:c r="C545" s="31" t="s">
        <x:v>509</x:v>
      </x:c>
      <x:c r="D545" s="31" t="s">
        <x:v>633</x:v>
      </x:c>
    </x:row>
    <x:row r="546" ht="43.5" hidden="0" customHeight="1">
      <x:c r="B546" s="30" t="s">
        <x:v>222</x:v>
      </x:c>
      <x:c r="C546" s="30" t="s">
        <x:v>497</x:v>
      </x:c>
      <x:c r="D546" s="30" t="s">
        <x:v>938</x:v>
      </x:c>
    </x:row>
    <x:row r="547" ht="114.75" hidden="0" customHeight="1">
      <x:c r="B547" s="31" t="s">
        <x:v>222</x:v>
      </x:c>
      <x:c r="C547" s="31" t="s">
        <x:v>499</x:v>
      </x:c>
      <x:c r="D547" s="31" t="s">
        <x:v>939</x:v>
      </x:c>
    </x:row>
    <x:row r="548" ht="43.5" hidden="0" customHeight="1">
      <x:c r="B548" s="32" t="s">
        <x:v>222</x:v>
      </x:c>
      <x:c r="C548" s="32" t="s">
        <x:v>501</x:v>
      </x:c>
      <x:c r="D548" s="32" t="s">
        <x:v>928</x:v>
      </x:c>
    </x:row>
    <x:row r="549" ht="186" hidden="0" customHeight="1">
      <x:c r="B549" s="31" t="s">
        <x:v>222</x:v>
      </x:c>
      <x:c r="C549" s="31" t="s">
        <x:v>503</x:v>
      </x:c>
      <x:c r="D549" s="31" t="s">
        <x:v>940</x:v>
      </x:c>
    </x:row>
    <x:row r="550" ht="129" hidden="0" customHeight="1">
      <x:c r="B550" s="32" t="s">
        <x:v>222</x:v>
      </x:c>
      <x:c r="C550" s="32" t="s">
        <x:v>505</x:v>
      </x:c>
      <x:c r="D550" s="32" t="s">
        <x:v>941</x:v>
      </x:c>
    </x:row>
    <x:row r="551" ht="129" hidden="0" customHeight="1">
      <x:c r="B551" s="32" t="s">
        <x:v>222</x:v>
      </x:c>
      <x:c r="C551" s="32" t="s">
        <x:v>507</x:v>
      </x:c>
      <x:c r="D551" s="32" t="s">
        <x:v>942</x:v>
      </x:c>
    </x:row>
    <x:row r="552" ht="43.5" hidden="0" customHeight="1">
      <x:c r="B552" s="31" t="s">
        <x:v>222</x:v>
      </x:c>
      <x:c r="C552" s="31" t="s">
        <x:v>509</x:v>
      </x:c>
      <x:c r="D552" s="31" t="s">
        <x:v>639</x:v>
      </x:c>
    </x:row>
    <x:row r="553" ht="34.5" hidden="0" customHeight="1">
      <x:c r="B553" s="30" t="s">
        <x:v>224</x:v>
      </x:c>
      <x:c r="C553" s="30" t="s">
        <x:v>497</x:v>
      </x:c>
      <x:c r="D553" s="30" t="s">
        <x:v>943</x:v>
      </x:c>
    </x:row>
    <x:row r="554" ht="57.75" hidden="0" customHeight="1">
      <x:c r="B554" s="31" t="s">
        <x:v>224</x:v>
      </x:c>
      <x:c r="C554" s="31" t="s">
        <x:v>499</x:v>
      </x:c>
      <x:c r="D554" s="31" t="s">
        <x:v>944</x:v>
      </x:c>
    </x:row>
    <x:row r="555" ht="43.5" hidden="0" customHeight="1">
      <x:c r="B555" s="32" t="s">
        <x:v>224</x:v>
      </x:c>
      <x:c r="C555" s="32" t="s">
        <x:v>501</x:v>
      </x:c>
      <x:c r="D555" s="32" t="s">
        <x:v>928</x:v>
      </x:c>
    </x:row>
    <x:row r="556" ht="129" hidden="0" customHeight="1">
      <x:c r="B556" s="31" t="s">
        <x:v>224</x:v>
      </x:c>
      <x:c r="C556" s="31" t="s">
        <x:v>503</x:v>
      </x:c>
      <x:c r="D556" s="31" t="s">
        <x:v>945</x:v>
      </x:c>
    </x:row>
    <x:row r="557" ht="72" hidden="0" customHeight="1">
      <x:c r="B557" s="32" t="s">
        <x:v>224</x:v>
      </x:c>
      <x:c r="C557" s="32" t="s">
        <x:v>505</x:v>
      </x:c>
      <x:c r="D557" s="32" t="s">
        <x:v>946</x:v>
      </x:c>
    </x:row>
    <x:row r="558" ht="72" hidden="0" customHeight="1">
      <x:c r="B558" s="32" t="s">
        <x:v>224</x:v>
      </x:c>
      <x:c r="C558" s="32" t="s">
        <x:v>507</x:v>
      </x:c>
      <x:c r="D558" s="32" t="s">
        <x:v>947</x:v>
      </x:c>
    </x:row>
    <x:row r="559" ht="43.5" hidden="0" customHeight="1">
      <x:c r="B559" s="31" t="s">
        <x:v>224</x:v>
      </x:c>
      <x:c r="C559" s="31" t="s">
        <x:v>509</x:v>
      </x:c>
      <x:c r="D559" s="31" t="s">
        <x:v>644</x:v>
      </x:c>
    </x:row>
    <x:row r="560" ht="34.5" hidden="0" customHeight="1">
      <x:c r="B560" s="30" t="s">
        <x:v>226</x:v>
      </x:c>
      <x:c r="C560" s="30" t="s">
        <x:v>497</x:v>
      </x:c>
      <x:c r="D560" s="30" t="s">
        <x:v>227</x:v>
      </x:c>
    </x:row>
    <x:row r="561" ht="129" hidden="0" customHeight="1">
      <x:c r="B561" s="31" t="s">
        <x:v>226</x:v>
      </x:c>
      <x:c r="C561" s="31" t="s">
        <x:v>499</x:v>
      </x:c>
      <x:c r="D561" s="31" t="s">
        <x:v>948</x:v>
      </x:c>
    </x:row>
    <x:row r="562" ht="43.5" hidden="0" customHeight="1">
      <x:c r="B562" s="32" t="s">
        <x:v>226</x:v>
      </x:c>
      <x:c r="C562" s="32" t="s">
        <x:v>501</x:v>
      </x:c>
      <x:c r="D562" s="32" t="s">
        <x:v>949</x:v>
      </x:c>
    </x:row>
    <x:row r="563" ht="171.75" hidden="0" customHeight="1">
      <x:c r="B563" s="31" t="s">
        <x:v>226</x:v>
      </x:c>
      <x:c r="C563" s="31" t="s">
        <x:v>503</x:v>
      </x:c>
      <x:c r="D563" s="31" t="s">
        <x:v>950</x:v>
      </x:c>
    </x:row>
    <x:row r="564" ht="114.75" hidden="0" customHeight="1">
      <x:c r="B564" s="32" t="s">
        <x:v>226</x:v>
      </x:c>
      <x:c r="C564" s="32" t="s">
        <x:v>505</x:v>
      </x:c>
      <x:c r="D564" s="32" t="s">
        <x:v>951</x:v>
      </x:c>
    </x:row>
    <x:row r="565" ht="114.75" hidden="0" customHeight="1">
      <x:c r="B565" s="32" t="s">
        <x:v>226</x:v>
      </x:c>
      <x:c r="C565" s="32" t="s">
        <x:v>507</x:v>
      </x:c>
      <x:c r="D565" s="32" t="s">
        <x:v>952</x:v>
      </x:c>
    </x:row>
    <x:row r="566" ht="43.5" hidden="0" customHeight="1">
      <x:c r="B566" s="31" t="s">
        <x:v>226</x:v>
      </x:c>
      <x:c r="C566" s="31" t="s">
        <x:v>509</x:v>
      </x:c>
      <x:c r="D566" s="31" t="s">
        <x:v>626</x:v>
      </x:c>
    </x:row>
    <x:row r="567" ht="43.5" hidden="0" customHeight="1">
      <x:c r="B567" s="30" t="s">
        <x:v>228</x:v>
      </x:c>
      <x:c r="C567" s="30" t="s">
        <x:v>497</x:v>
      </x:c>
      <x:c r="D567" s="30" t="s">
        <x:v>953</x:v>
      </x:c>
    </x:row>
    <x:row r="568" ht="114.75" hidden="0" customHeight="1">
      <x:c r="B568" s="31" t="s">
        <x:v>228</x:v>
      </x:c>
      <x:c r="C568" s="31" t="s">
        <x:v>499</x:v>
      </x:c>
      <x:c r="D568" s="31" t="s">
        <x:v>954</x:v>
      </x:c>
    </x:row>
    <x:row r="569" ht="43.5" hidden="0" customHeight="1">
      <x:c r="B569" s="32" t="s">
        <x:v>228</x:v>
      </x:c>
      <x:c r="C569" s="32" t="s">
        <x:v>501</x:v>
      </x:c>
      <x:c r="D569" s="32" t="s">
        <x:v>949</x:v>
      </x:c>
    </x:row>
    <x:row r="570" ht="186" hidden="0" customHeight="1">
      <x:c r="B570" s="31" t="s">
        <x:v>228</x:v>
      </x:c>
      <x:c r="C570" s="31" t="s">
        <x:v>503</x:v>
      </x:c>
      <x:c r="D570" s="31" t="s">
        <x:v>955</x:v>
      </x:c>
    </x:row>
    <x:row r="571" ht="157.5" hidden="0" customHeight="1">
      <x:c r="B571" s="32" t="s">
        <x:v>228</x:v>
      </x:c>
      <x:c r="C571" s="32" t="s">
        <x:v>505</x:v>
      </x:c>
      <x:c r="D571" s="32" t="s">
        <x:v>956</x:v>
      </x:c>
    </x:row>
    <x:row r="572" ht="157.5" hidden="0" customHeight="1">
      <x:c r="B572" s="32" t="s">
        <x:v>228</x:v>
      </x:c>
      <x:c r="C572" s="32" t="s">
        <x:v>507</x:v>
      </x:c>
      <x:c r="D572" s="32" t="s">
        <x:v>957</x:v>
      </x:c>
    </x:row>
    <x:row r="573" ht="90" hidden="0" customHeight="1">
      <x:c r="B573" s="32" t="s">
        <x:v>228</x:v>
      </x:c>
      <x:c r="C573" s="32" t="s">
        <x:v>517</x:v>
      </x:c>
      <x:c r="D573" s="32" t="s">
        <x:v>958</x:v>
      </x:c>
    </x:row>
    <x:row r="574" ht="57.75" hidden="0" customHeight="1">
      <x:c r="B574" s="31" t="s">
        <x:v>228</x:v>
      </x:c>
      <x:c r="C574" s="31" t="s">
        <x:v>509</x:v>
      </x:c>
      <x:c r="D574" s="31" t="s">
        <x:v>633</x:v>
      </x:c>
    </x:row>
    <x:row r="575" ht="43.5" hidden="0" customHeight="1">
      <x:c r="B575" s="30" t="s">
        <x:v>231</x:v>
      </x:c>
      <x:c r="C575" s="30" t="s">
        <x:v>497</x:v>
      </x:c>
      <x:c r="D575" s="30" t="s">
        <x:v>959</x:v>
      </x:c>
    </x:row>
    <x:row r="576" ht="114.75" hidden="0" customHeight="1">
      <x:c r="B576" s="31" t="s">
        <x:v>231</x:v>
      </x:c>
      <x:c r="C576" s="31" t="s">
        <x:v>499</x:v>
      </x:c>
      <x:c r="D576" s="31" t="s">
        <x:v>960</x:v>
      </x:c>
    </x:row>
    <x:row r="577" ht="43.5" hidden="0" customHeight="1">
      <x:c r="B577" s="32" t="s">
        <x:v>231</x:v>
      </x:c>
      <x:c r="C577" s="32" t="s">
        <x:v>501</x:v>
      </x:c>
      <x:c r="D577" s="32" t="s">
        <x:v>949</x:v>
      </x:c>
    </x:row>
    <x:row r="578" ht="186" hidden="0" customHeight="1">
      <x:c r="B578" s="31" t="s">
        <x:v>231</x:v>
      </x:c>
      <x:c r="C578" s="31" t="s">
        <x:v>503</x:v>
      </x:c>
      <x:c r="D578" s="31" t="s">
        <x:v>961</x:v>
      </x:c>
    </x:row>
    <x:row r="579" ht="129" hidden="0" customHeight="1">
      <x:c r="B579" s="32" t="s">
        <x:v>231</x:v>
      </x:c>
      <x:c r="C579" s="32" t="s">
        <x:v>505</x:v>
      </x:c>
      <x:c r="D579" s="32" t="s">
        <x:v>962</x:v>
      </x:c>
    </x:row>
    <x:row r="580" ht="129" hidden="0" customHeight="1">
      <x:c r="B580" s="32" t="s">
        <x:v>231</x:v>
      </x:c>
      <x:c r="C580" s="32" t="s">
        <x:v>507</x:v>
      </x:c>
      <x:c r="D580" s="32" t="s">
        <x:v>963</x:v>
      </x:c>
    </x:row>
    <x:row r="581" ht="43.5" hidden="0" customHeight="1">
      <x:c r="B581" s="31" t="s">
        <x:v>231</x:v>
      </x:c>
      <x:c r="C581" s="31" t="s">
        <x:v>509</x:v>
      </x:c>
      <x:c r="D581" s="31" t="s">
        <x:v>639</x:v>
      </x:c>
    </x:row>
    <x:row r="582" ht="43.5" hidden="0" customHeight="1">
      <x:c r="B582" s="30" t="s">
        <x:v>233</x:v>
      </x:c>
      <x:c r="C582" s="30" t="s">
        <x:v>497</x:v>
      </x:c>
      <x:c r="D582" s="30" t="s">
        <x:v>964</x:v>
      </x:c>
    </x:row>
    <x:row r="583" ht="72" hidden="0" customHeight="1">
      <x:c r="B583" s="31" t="s">
        <x:v>233</x:v>
      </x:c>
      <x:c r="C583" s="31" t="s">
        <x:v>499</x:v>
      </x:c>
      <x:c r="D583" s="31" t="s">
        <x:v>965</x:v>
      </x:c>
    </x:row>
    <x:row r="584" ht="43.5" hidden="0" customHeight="1">
      <x:c r="B584" s="32" t="s">
        <x:v>233</x:v>
      </x:c>
      <x:c r="C584" s="32" t="s">
        <x:v>501</x:v>
      </x:c>
      <x:c r="D584" s="32" t="s">
        <x:v>949</x:v>
      </x:c>
    </x:row>
    <x:row r="585" ht="129" hidden="0" customHeight="1">
      <x:c r="B585" s="31" t="s">
        <x:v>233</x:v>
      </x:c>
      <x:c r="C585" s="31" t="s">
        <x:v>503</x:v>
      </x:c>
      <x:c r="D585" s="31" t="s">
        <x:v>966</x:v>
      </x:c>
    </x:row>
    <x:row r="586" ht="72" hidden="0" customHeight="1">
      <x:c r="B586" s="32" t="s">
        <x:v>233</x:v>
      </x:c>
      <x:c r="C586" s="32" t="s">
        <x:v>505</x:v>
      </x:c>
      <x:c r="D586" s="32" t="s">
        <x:v>967</x:v>
      </x:c>
    </x:row>
    <x:row r="587" ht="72" hidden="0" customHeight="1">
      <x:c r="B587" s="32" t="s">
        <x:v>233</x:v>
      </x:c>
      <x:c r="C587" s="32" t="s">
        <x:v>507</x:v>
      </x:c>
      <x:c r="D587" s="32" t="s">
        <x:v>968</x:v>
      </x:c>
    </x:row>
    <x:row r="588" ht="43.5" hidden="0" customHeight="1">
      <x:c r="B588" s="31" t="s">
        <x:v>233</x:v>
      </x:c>
      <x:c r="C588" s="31" t="s">
        <x:v>509</x:v>
      </x:c>
      <x:c r="D588" s="31" t="s">
        <x:v>711</x:v>
      </x:c>
    </x:row>
    <x:row r="589" ht="34.5" hidden="0" customHeight="1">
      <x:c r="B589" s="30" t="s">
        <x:v>235</x:v>
      </x:c>
      <x:c r="C589" s="30" t="s">
        <x:v>497</x:v>
      </x:c>
      <x:c r="D589" s="30" t="s">
        <x:v>236</x:v>
      </x:c>
    </x:row>
    <x:row r="590" ht="129" hidden="0" customHeight="1">
      <x:c r="B590" s="31" t="s">
        <x:v>235</x:v>
      </x:c>
      <x:c r="C590" s="31" t="s">
        <x:v>499</x:v>
      </x:c>
      <x:c r="D590" s="31" t="s">
        <x:v>969</x:v>
      </x:c>
    </x:row>
    <x:row r="591" ht="57.75" hidden="0" customHeight="1">
      <x:c r="B591" s="32" t="s">
        <x:v>235</x:v>
      </x:c>
      <x:c r="C591" s="32" t="s">
        <x:v>501</x:v>
      </x:c>
      <x:c r="D591" s="32" t="s">
        <x:v>970</x:v>
      </x:c>
    </x:row>
    <x:row r="592" ht="171.75" hidden="0" customHeight="1">
      <x:c r="B592" s="31" t="s">
        <x:v>235</x:v>
      </x:c>
      <x:c r="C592" s="31" t="s">
        <x:v>503</x:v>
      </x:c>
      <x:c r="D592" s="31" t="s">
        <x:v>971</x:v>
      </x:c>
    </x:row>
    <x:row r="593" ht="100.5" hidden="0" customHeight="1">
      <x:c r="B593" s="32" t="s">
        <x:v>235</x:v>
      </x:c>
      <x:c r="C593" s="32" t="s">
        <x:v>505</x:v>
      </x:c>
      <x:c r="D593" s="32" t="s">
        <x:v>972</x:v>
      </x:c>
    </x:row>
    <x:row r="594" ht="100.5" hidden="0" customHeight="1">
      <x:c r="B594" s="32" t="s">
        <x:v>235</x:v>
      </x:c>
      <x:c r="C594" s="32" t="s">
        <x:v>507</x:v>
      </x:c>
      <x:c r="D594" s="32" t="s">
        <x:v>973</x:v>
      </x:c>
    </x:row>
    <x:row r="595" ht="43.5" hidden="0" customHeight="1">
      <x:c r="B595" s="31" t="s">
        <x:v>235</x:v>
      </x:c>
      <x:c r="C595" s="31" t="s">
        <x:v>509</x:v>
      </x:c>
      <x:c r="D595" s="31" t="s">
        <x:v>626</x:v>
      </x:c>
    </x:row>
    <x:row r="596" ht="43.5" hidden="0" customHeight="1">
      <x:c r="B596" s="30" t="s">
        <x:v>237</x:v>
      </x:c>
      <x:c r="C596" s="30" t="s">
        <x:v>497</x:v>
      </x:c>
      <x:c r="D596" s="30" t="s">
        <x:v>974</x:v>
      </x:c>
    </x:row>
    <x:row r="597" ht="114.75" hidden="0" customHeight="1">
      <x:c r="B597" s="31" t="s">
        <x:v>237</x:v>
      </x:c>
      <x:c r="C597" s="31" t="s">
        <x:v>499</x:v>
      </x:c>
      <x:c r="D597" s="31" t="s">
        <x:v>975</x:v>
      </x:c>
    </x:row>
    <x:row r="598" ht="57.75" hidden="0" customHeight="1">
      <x:c r="B598" s="32" t="s">
        <x:v>237</x:v>
      </x:c>
      <x:c r="C598" s="32" t="s">
        <x:v>501</x:v>
      </x:c>
      <x:c r="D598" s="32" t="s">
        <x:v>970</x:v>
      </x:c>
    </x:row>
    <x:row r="599" ht="186" hidden="0" customHeight="1">
      <x:c r="B599" s="31" t="s">
        <x:v>237</x:v>
      </x:c>
      <x:c r="C599" s="31" t="s">
        <x:v>503</x:v>
      </x:c>
      <x:c r="D599" s="31" t="s">
        <x:v>976</x:v>
      </x:c>
    </x:row>
    <x:row r="600" ht="157.5" hidden="0" customHeight="1">
      <x:c r="B600" s="32" t="s">
        <x:v>237</x:v>
      </x:c>
      <x:c r="C600" s="32" t="s">
        <x:v>505</x:v>
      </x:c>
      <x:c r="D600" s="32" t="s">
        <x:v>977</x:v>
      </x:c>
    </x:row>
    <x:row r="601" ht="157.5" hidden="0" customHeight="1">
      <x:c r="B601" s="32" t="s">
        <x:v>237</x:v>
      </x:c>
      <x:c r="C601" s="32" t="s">
        <x:v>507</x:v>
      </x:c>
      <x:c r="D601" s="32" t="s">
        <x:v>978</x:v>
      </x:c>
    </x:row>
    <x:row r="602" ht="90" hidden="0" customHeight="1">
      <x:c r="B602" s="32" t="s">
        <x:v>237</x:v>
      </x:c>
      <x:c r="C602" s="32" t="s">
        <x:v>517</x:v>
      </x:c>
      <x:c r="D602" s="32" t="s">
        <x:v>979</x:v>
      </x:c>
    </x:row>
    <x:row r="603" ht="57.75" hidden="0" customHeight="1">
      <x:c r="B603" s="31" t="s">
        <x:v>237</x:v>
      </x:c>
      <x:c r="C603" s="31" t="s">
        <x:v>509</x:v>
      </x:c>
      <x:c r="D603" s="31" t="s">
        <x:v>633</x:v>
      </x:c>
    </x:row>
    <x:row r="604" ht="43.5" hidden="0" customHeight="1">
      <x:c r="B604" s="30" t="s">
        <x:v>239</x:v>
      </x:c>
      <x:c r="C604" s="30" t="s">
        <x:v>497</x:v>
      </x:c>
      <x:c r="D604" s="30" t="s">
        <x:v>980</x:v>
      </x:c>
    </x:row>
    <x:row r="605" ht="114.75" hidden="0" customHeight="1">
      <x:c r="B605" s="31" t="s">
        <x:v>239</x:v>
      </x:c>
      <x:c r="C605" s="31" t="s">
        <x:v>499</x:v>
      </x:c>
      <x:c r="D605" s="31" t="s">
        <x:v>981</x:v>
      </x:c>
    </x:row>
    <x:row r="606" ht="57.75" hidden="0" customHeight="1">
      <x:c r="B606" s="32" t="s">
        <x:v>239</x:v>
      </x:c>
      <x:c r="C606" s="32" t="s">
        <x:v>501</x:v>
      </x:c>
      <x:c r="D606" s="32" t="s">
        <x:v>970</x:v>
      </x:c>
    </x:row>
    <x:row r="607" ht="186" hidden="0" customHeight="1">
      <x:c r="B607" s="31" t="s">
        <x:v>239</x:v>
      </x:c>
      <x:c r="C607" s="31" t="s">
        <x:v>503</x:v>
      </x:c>
      <x:c r="D607" s="31" t="s">
        <x:v>982</x:v>
      </x:c>
    </x:row>
    <x:row r="608" ht="129" hidden="0" customHeight="1">
      <x:c r="B608" s="32" t="s">
        <x:v>239</x:v>
      </x:c>
      <x:c r="C608" s="32" t="s">
        <x:v>505</x:v>
      </x:c>
      <x:c r="D608" s="32" t="s">
        <x:v>983</x:v>
      </x:c>
    </x:row>
    <x:row r="609" ht="129" hidden="0" customHeight="1">
      <x:c r="B609" s="32" t="s">
        <x:v>239</x:v>
      </x:c>
      <x:c r="C609" s="32" t="s">
        <x:v>507</x:v>
      </x:c>
      <x:c r="D609" s="32" t="s">
        <x:v>984</x:v>
      </x:c>
    </x:row>
    <x:row r="610" ht="43.5" hidden="0" customHeight="1">
      <x:c r="B610" s="31" t="s">
        <x:v>239</x:v>
      </x:c>
      <x:c r="C610" s="31" t="s">
        <x:v>509</x:v>
      </x:c>
      <x:c r="D610" s="31" t="s">
        <x:v>639</x:v>
      </x:c>
    </x:row>
    <x:row r="611" ht="34.5" hidden="0" customHeight="1">
      <x:c r="B611" s="30" t="s">
        <x:v>241</x:v>
      </x:c>
      <x:c r="C611" s="30" t="s">
        <x:v>497</x:v>
      </x:c>
      <x:c r="D611" s="30" t="s">
        <x:v>985</x:v>
      </x:c>
    </x:row>
    <x:row r="612" ht="57.75" hidden="0" customHeight="1">
      <x:c r="B612" s="31" t="s">
        <x:v>241</x:v>
      </x:c>
      <x:c r="C612" s="31" t="s">
        <x:v>499</x:v>
      </x:c>
      <x:c r="D612" s="31" t="s">
        <x:v>986</x:v>
      </x:c>
    </x:row>
    <x:row r="613" ht="57.75" hidden="0" customHeight="1">
      <x:c r="B613" s="32" t="s">
        <x:v>241</x:v>
      </x:c>
      <x:c r="C613" s="32" t="s">
        <x:v>501</x:v>
      </x:c>
      <x:c r="D613" s="32" t="s">
        <x:v>970</x:v>
      </x:c>
    </x:row>
    <x:row r="614" ht="129" hidden="0" customHeight="1">
      <x:c r="B614" s="31" t="s">
        <x:v>241</x:v>
      </x:c>
      <x:c r="C614" s="31" t="s">
        <x:v>503</x:v>
      </x:c>
      <x:c r="D614" s="31" t="s">
        <x:v>987</x:v>
      </x:c>
    </x:row>
    <x:row r="615" ht="72" hidden="0" customHeight="1">
      <x:c r="B615" s="32" t="s">
        <x:v>241</x:v>
      </x:c>
      <x:c r="C615" s="32" t="s">
        <x:v>505</x:v>
      </x:c>
      <x:c r="D615" s="32" t="s">
        <x:v>988</x:v>
      </x:c>
    </x:row>
    <x:row r="616" ht="72" hidden="0" customHeight="1">
      <x:c r="B616" s="32" t="s">
        <x:v>241</x:v>
      </x:c>
      <x:c r="C616" s="32" t="s">
        <x:v>507</x:v>
      </x:c>
      <x:c r="D616" s="32" t="s">
        <x:v>989</x:v>
      </x:c>
    </x:row>
    <x:row r="617" ht="43.5" hidden="0" customHeight="1">
      <x:c r="B617" s="31" t="s">
        <x:v>241</x:v>
      </x:c>
      <x:c r="C617" s="31" t="s">
        <x:v>509</x:v>
      </x:c>
      <x:c r="D617" s="31" t="s">
        <x:v>644</x:v>
      </x:c>
    </x:row>
    <x:row r="618" ht="34.5" hidden="0" customHeight="1">
      <x:c r="B618" s="30" t="s">
        <x:v>243</x:v>
      </x:c>
      <x:c r="C618" s="30" t="s">
        <x:v>497</x:v>
      </x:c>
      <x:c r="D618" s="30" t="s">
        <x:v>990</x:v>
      </x:c>
    </x:row>
    <x:row r="619" ht="114.75" hidden="0" customHeight="1">
      <x:c r="B619" s="31" t="s">
        <x:v>243</x:v>
      </x:c>
      <x:c r="C619" s="31" t="s">
        <x:v>499</x:v>
      </x:c>
      <x:c r="D619" s="31" t="s">
        <x:v>991</x:v>
      </x:c>
    </x:row>
    <x:row r="620" ht="43.5" hidden="0" customHeight="1">
      <x:c r="B620" s="32" t="s">
        <x:v>243</x:v>
      </x:c>
      <x:c r="C620" s="32" t="s">
        <x:v>501</x:v>
      </x:c>
      <x:c r="D620" s="32" t="s">
        <x:v>992</x:v>
      </x:c>
    </x:row>
    <x:row r="621" ht="171.75" hidden="0" customHeight="1">
      <x:c r="B621" s="31" t="s">
        <x:v>243</x:v>
      </x:c>
      <x:c r="C621" s="31" t="s">
        <x:v>503</x:v>
      </x:c>
      <x:c r="D621" s="31" t="s">
        <x:v>993</x:v>
      </x:c>
    </x:row>
    <x:row r="622" ht="100.5" hidden="0" customHeight="1">
      <x:c r="B622" s="32" t="s">
        <x:v>243</x:v>
      </x:c>
      <x:c r="C622" s="32" t="s">
        <x:v>505</x:v>
      </x:c>
      <x:c r="D622" s="32" t="s">
        <x:v>994</x:v>
      </x:c>
    </x:row>
    <x:row r="623" ht="100.5" hidden="0" customHeight="1">
      <x:c r="B623" s="32" t="s">
        <x:v>243</x:v>
      </x:c>
      <x:c r="C623" s="32" t="s">
        <x:v>507</x:v>
      </x:c>
      <x:c r="D623" s="32" t="s">
        <x:v>995</x:v>
      </x:c>
    </x:row>
    <x:row r="624" ht="43.5" hidden="0" customHeight="1">
      <x:c r="B624" s="31" t="s">
        <x:v>243</x:v>
      </x:c>
      <x:c r="C624" s="31" t="s">
        <x:v>509</x:v>
      </x:c>
      <x:c r="D624" s="31" t="s">
        <x:v>626</x:v>
      </x:c>
    </x:row>
    <x:row r="625" ht="43.5" hidden="0" customHeight="1">
      <x:c r="B625" s="30" t="s">
        <x:v>245</x:v>
      </x:c>
      <x:c r="C625" s="30" t="s">
        <x:v>497</x:v>
      </x:c>
      <x:c r="D625" s="30" t="s">
        <x:v>996</x:v>
      </x:c>
    </x:row>
    <x:row r="626" ht="114.75" hidden="0" customHeight="1">
      <x:c r="B626" s="31" t="s">
        <x:v>245</x:v>
      </x:c>
      <x:c r="C626" s="31" t="s">
        <x:v>499</x:v>
      </x:c>
      <x:c r="D626" s="31" t="s">
        <x:v>997</x:v>
      </x:c>
    </x:row>
    <x:row r="627" ht="43.5" hidden="0" customHeight="1">
      <x:c r="B627" s="32" t="s">
        <x:v>245</x:v>
      </x:c>
      <x:c r="C627" s="32" t="s">
        <x:v>501</x:v>
      </x:c>
      <x:c r="D627" s="32" t="s">
        <x:v>992</x:v>
      </x:c>
    </x:row>
    <x:row r="628" ht="186" hidden="0" customHeight="1">
      <x:c r="B628" s="31" t="s">
        <x:v>245</x:v>
      </x:c>
      <x:c r="C628" s="31" t="s">
        <x:v>503</x:v>
      </x:c>
      <x:c r="D628" s="31" t="s">
        <x:v>998</x:v>
      </x:c>
    </x:row>
    <x:row r="629" ht="143.25" hidden="0" customHeight="1">
      <x:c r="B629" s="32" t="s">
        <x:v>245</x:v>
      </x:c>
      <x:c r="C629" s="32" t="s">
        <x:v>505</x:v>
      </x:c>
      <x:c r="D629" s="32" t="s">
        <x:v>999</x:v>
      </x:c>
    </x:row>
    <x:row r="630" ht="143.25" hidden="0" customHeight="1">
      <x:c r="B630" s="32" t="s">
        <x:v>245</x:v>
      </x:c>
      <x:c r="C630" s="32" t="s">
        <x:v>507</x:v>
      </x:c>
      <x:c r="D630" s="32" t="s">
        <x:v>1000</x:v>
      </x:c>
    </x:row>
    <x:row r="631" ht="90" hidden="0" customHeight="1">
      <x:c r="B631" s="32" t="s">
        <x:v>245</x:v>
      </x:c>
      <x:c r="C631" s="32" t="s">
        <x:v>517</x:v>
      </x:c>
      <x:c r="D631" s="32" t="s">
        <x:v>1001</x:v>
      </x:c>
    </x:row>
    <x:row r="632" ht="57.75" hidden="0" customHeight="1">
      <x:c r="B632" s="31" t="s">
        <x:v>245</x:v>
      </x:c>
      <x:c r="C632" s="31" t="s">
        <x:v>509</x:v>
      </x:c>
      <x:c r="D632" s="31" t="s">
        <x:v>633</x:v>
      </x:c>
    </x:row>
    <x:row r="633" ht="43.5" hidden="0" customHeight="1">
      <x:c r="B633" s="30" t="s">
        <x:v>247</x:v>
      </x:c>
      <x:c r="C633" s="30" t="s">
        <x:v>497</x:v>
      </x:c>
      <x:c r="D633" s="30" t="s">
        <x:v>1002</x:v>
      </x:c>
    </x:row>
    <x:row r="634" ht="114.75" hidden="0" customHeight="1">
      <x:c r="B634" s="31" t="s">
        <x:v>247</x:v>
      </x:c>
      <x:c r="C634" s="31" t="s">
        <x:v>499</x:v>
      </x:c>
      <x:c r="D634" s="31" t="s">
        <x:v>1003</x:v>
      </x:c>
    </x:row>
    <x:row r="635" ht="43.5" hidden="0" customHeight="1">
      <x:c r="B635" s="32" t="s">
        <x:v>247</x:v>
      </x:c>
      <x:c r="C635" s="32" t="s">
        <x:v>501</x:v>
      </x:c>
      <x:c r="D635" s="32" t="s">
        <x:v>992</x:v>
      </x:c>
    </x:row>
    <x:row r="636" ht="186" hidden="0" customHeight="1">
      <x:c r="B636" s="31" t="s">
        <x:v>247</x:v>
      </x:c>
      <x:c r="C636" s="31" t="s">
        <x:v>503</x:v>
      </x:c>
      <x:c r="D636" s="31" t="s">
        <x:v>1004</x:v>
      </x:c>
    </x:row>
    <x:row r="637" ht="129" hidden="0" customHeight="1">
      <x:c r="B637" s="32" t="s">
        <x:v>247</x:v>
      </x:c>
      <x:c r="C637" s="32" t="s">
        <x:v>505</x:v>
      </x:c>
      <x:c r="D637" s="32" t="s">
        <x:v>1005</x:v>
      </x:c>
    </x:row>
    <x:row r="638" ht="129" hidden="0" customHeight="1">
      <x:c r="B638" s="32" t="s">
        <x:v>247</x:v>
      </x:c>
      <x:c r="C638" s="32" t="s">
        <x:v>507</x:v>
      </x:c>
      <x:c r="D638" s="32" t="s">
        <x:v>1006</x:v>
      </x:c>
    </x:row>
    <x:row r="639" ht="43.5" hidden="0" customHeight="1">
      <x:c r="B639" s="31" t="s">
        <x:v>247</x:v>
      </x:c>
      <x:c r="C639" s="31" t="s">
        <x:v>509</x:v>
      </x:c>
      <x:c r="D639" s="31" t="s">
        <x:v>639</x:v>
      </x:c>
    </x:row>
    <x:row r="640" ht="34.5" hidden="0" customHeight="1">
      <x:c r="B640" s="30" t="s">
        <x:v>249</x:v>
      </x:c>
      <x:c r="C640" s="30" t="s">
        <x:v>497</x:v>
      </x:c>
      <x:c r="D640" s="30" t="s">
        <x:v>1007</x:v>
      </x:c>
    </x:row>
    <x:row r="641" ht="57.75" hidden="0" customHeight="1">
      <x:c r="B641" s="31" t="s">
        <x:v>249</x:v>
      </x:c>
      <x:c r="C641" s="31" t="s">
        <x:v>499</x:v>
      </x:c>
      <x:c r="D641" s="31" t="s">
        <x:v>1008</x:v>
      </x:c>
    </x:row>
    <x:row r="642" ht="43.5" hidden="0" customHeight="1">
      <x:c r="B642" s="32" t="s">
        <x:v>249</x:v>
      </x:c>
      <x:c r="C642" s="32" t="s">
        <x:v>501</x:v>
      </x:c>
      <x:c r="D642" s="32" t="s">
        <x:v>992</x:v>
      </x:c>
    </x:row>
    <x:row r="643" ht="129" hidden="0" customHeight="1">
      <x:c r="B643" s="31" t="s">
        <x:v>249</x:v>
      </x:c>
      <x:c r="C643" s="31" t="s">
        <x:v>503</x:v>
      </x:c>
      <x:c r="D643" s="31" t="s">
        <x:v>1009</x:v>
      </x:c>
    </x:row>
    <x:row r="644" ht="72" hidden="0" customHeight="1">
      <x:c r="B644" s="32" t="s">
        <x:v>249</x:v>
      </x:c>
      <x:c r="C644" s="32" t="s">
        <x:v>505</x:v>
      </x:c>
      <x:c r="D644" s="32" t="s">
        <x:v>1010</x:v>
      </x:c>
    </x:row>
    <x:row r="645" ht="72" hidden="0" customHeight="1">
      <x:c r="B645" s="32" t="s">
        <x:v>249</x:v>
      </x:c>
      <x:c r="C645" s="32" t="s">
        <x:v>507</x:v>
      </x:c>
      <x:c r="D645" s="32" t="s">
        <x:v>1011</x:v>
      </x:c>
    </x:row>
    <x:row r="646" ht="43.5" hidden="0" customHeight="1">
      <x:c r="B646" s="31" t="s">
        <x:v>249</x:v>
      </x:c>
      <x:c r="C646" s="31" t="s">
        <x:v>509</x:v>
      </x:c>
      <x:c r="D646" s="31" t="s">
        <x:v>644</x:v>
      </x:c>
    </x:row>
    <x:row r="647" ht="34.5" hidden="0" customHeight="1">
      <x:c r="B647" s="30" t="s">
        <x:v>251</x:v>
      </x:c>
      <x:c r="C647" s="30" t="s">
        <x:v>497</x:v>
      </x:c>
      <x:c r="D647" s="30" t="s">
        <x:v>252</x:v>
      </x:c>
    </x:row>
    <x:row r="648" ht="114.75" hidden="0" customHeight="1">
      <x:c r="B648" s="31" t="s">
        <x:v>251</x:v>
      </x:c>
      <x:c r="C648" s="31" t="s">
        <x:v>499</x:v>
      </x:c>
      <x:c r="D648" s="31" t="s">
        <x:v>1012</x:v>
      </x:c>
    </x:row>
    <x:row r="649" ht="43.5" hidden="0" customHeight="1">
      <x:c r="B649" s="32" t="s">
        <x:v>251</x:v>
      </x:c>
      <x:c r="C649" s="32" t="s">
        <x:v>501</x:v>
      </x:c>
      <x:c r="D649" s="32" t="s">
        <x:v>1013</x:v>
      </x:c>
    </x:row>
    <x:row r="650" ht="157.5" hidden="0" customHeight="1">
      <x:c r="B650" s="31" t="s">
        <x:v>251</x:v>
      </x:c>
      <x:c r="C650" s="31" t="s">
        <x:v>503</x:v>
      </x:c>
      <x:c r="D650" s="31" t="s">
        <x:v>1014</x:v>
      </x:c>
    </x:row>
    <x:row r="651" ht="114.75" hidden="0" customHeight="1">
      <x:c r="B651" s="32" t="s">
        <x:v>251</x:v>
      </x:c>
      <x:c r="C651" s="32" t="s">
        <x:v>505</x:v>
      </x:c>
      <x:c r="D651" s="32" t="s">
        <x:v>1015</x:v>
      </x:c>
    </x:row>
    <x:row r="652" ht="114.75" hidden="0" customHeight="1">
      <x:c r="B652" s="32" t="s">
        <x:v>251</x:v>
      </x:c>
      <x:c r="C652" s="32" t="s">
        <x:v>507</x:v>
      </x:c>
      <x:c r="D652" s="32" t="s">
        <x:v>1016</x:v>
      </x:c>
    </x:row>
    <x:row r="653" ht="43.5" hidden="0" customHeight="1">
      <x:c r="B653" s="31" t="s">
        <x:v>251</x:v>
      </x:c>
      <x:c r="C653" s="31" t="s">
        <x:v>509</x:v>
      </x:c>
      <x:c r="D653" s="31" t="s">
        <x:v>626</x:v>
      </x:c>
    </x:row>
    <x:row r="654" ht="43.5" hidden="0" customHeight="1">
      <x:c r="B654" s="30" t="s">
        <x:v>253</x:v>
      </x:c>
      <x:c r="C654" s="30" t="s">
        <x:v>497</x:v>
      </x:c>
      <x:c r="D654" s="30" t="s">
        <x:v>1017</x:v>
      </x:c>
    </x:row>
    <x:row r="655" ht="100.5" hidden="0" customHeight="1">
      <x:c r="B655" s="31" t="s">
        <x:v>253</x:v>
      </x:c>
      <x:c r="C655" s="31" t="s">
        <x:v>499</x:v>
      </x:c>
      <x:c r="D655" s="31" t="s">
        <x:v>1018</x:v>
      </x:c>
    </x:row>
    <x:row r="656" ht="43.5" hidden="0" customHeight="1">
      <x:c r="B656" s="32" t="s">
        <x:v>253</x:v>
      </x:c>
      <x:c r="C656" s="32" t="s">
        <x:v>501</x:v>
      </x:c>
      <x:c r="D656" s="32" t="s">
        <x:v>1013</x:v>
      </x:c>
    </x:row>
    <x:row r="657" ht="171.75" hidden="0" customHeight="1">
      <x:c r="B657" s="31" t="s">
        <x:v>253</x:v>
      </x:c>
      <x:c r="C657" s="31" t="s">
        <x:v>503</x:v>
      </x:c>
      <x:c r="D657" s="31" t="s">
        <x:v>1019</x:v>
      </x:c>
    </x:row>
    <x:row r="658" ht="143.25" hidden="0" customHeight="1">
      <x:c r="B658" s="32" t="s">
        <x:v>253</x:v>
      </x:c>
      <x:c r="C658" s="32" t="s">
        <x:v>505</x:v>
      </x:c>
      <x:c r="D658" s="32" t="s">
        <x:v>1020</x:v>
      </x:c>
    </x:row>
    <x:row r="659" ht="143.25" hidden="0" customHeight="1">
      <x:c r="B659" s="32" t="s">
        <x:v>253</x:v>
      </x:c>
      <x:c r="C659" s="32" t="s">
        <x:v>507</x:v>
      </x:c>
      <x:c r="D659" s="32" t="s">
        <x:v>1021</x:v>
      </x:c>
    </x:row>
    <x:row r="660" ht="90" hidden="0" customHeight="1">
      <x:c r="B660" s="32" t="s">
        <x:v>253</x:v>
      </x:c>
      <x:c r="C660" s="32" t="s">
        <x:v>517</x:v>
      </x:c>
      <x:c r="D660" s="32" t="s">
        <x:v>1022</x:v>
      </x:c>
    </x:row>
    <x:row r="661" ht="57.75" hidden="0" customHeight="1">
      <x:c r="B661" s="31" t="s">
        <x:v>253</x:v>
      </x:c>
      <x:c r="C661" s="31" t="s">
        <x:v>509</x:v>
      </x:c>
      <x:c r="D661" s="31" t="s">
        <x:v>633</x:v>
      </x:c>
    </x:row>
    <x:row r="662" ht="43.5" hidden="0" customHeight="1">
      <x:c r="B662" s="30" t="s">
        <x:v>255</x:v>
      </x:c>
      <x:c r="C662" s="30" t="s">
        <x:v>497</x:v>
      </x:c>
      <x:c r="D662" s="30" t="s">
        <x:v>1023</x:v>
      </x:c>
    </x:row>
    <x:row r="663" ht="114.75" hidden="0" customHeight="1">
      <x:c r="B663" s="31" t="s">
        <x:v>255</x:v>
      </x:c>
      <x:c r="C663" s="31" t="s">
        <x:v>499</x:v>
      </x:c>
      <x:c r="D663" s="31" t="s">
        <x:v>1024</x:v>
      </x:c>
    </x:row>
    <x:row r="664" ht="43.5" hidden="0" customHeight="1">
      <x:c r="B664" s="32" t="s">
        <x:v>255</x:v>
      </x:c>
      <x:c r="C664" s="32" t="s">
        <x:v>501</x:v>
      </x:c>
      <x:c r="D664" s="32" t="s">
        <x:v>1013</x:v>
      </x:c>
    </x:row>
    <x:row r="665" ht="186" hidden="0" customHeight="1">
      <x:c r="B665" s="31" t="s">
        <x:v>255</x:v>
      </x:c>
      <x:c r="C665" s="31" t="s">
        <x:v>503</x:v>
      </x:c>
      <x:c r="D665" s="31" t="s">
        <x:v>1025</x:v>
      </x:c>
    </x:row>
    <x:row r="666" ht="129" hidden="0" customHeight="1">
      <x:c r="B666" s="32" t="s">
        <x:v>255</x:v>
      </x:c>
      <x:c r="C666" s="32" t="s">
        <x:v>505</x:v>
      </x:c>
      <x:c r="D666" s="32" t="s">
        <x:v>1026</x:v>
      </x:c>
    </x:row>
    <x:row r="667" ht="129" hidden="0" customHeight="1">
      <x:c r="B667" s="32" t="s">
        <x:v>255</x:v>
      </x:c>
      <x:c r="C667" s="32" t="s">
        <x:v>507</x:v>
      </x:c>
      <x:c r="D667" s="32" t="s">
        <x:v>1027</x:v>
      </x:c>
    </x:row>
    <x:row r="668" ht="43.5" hidden="0" customHeight="1">
      <x:c r="B668" s="31" t="s">
        <x:v>255</x:v>
      </x:c>
      <x:c r="C668" s="31" t="s">
        <x:v>509</x:v>
      </x:c>
      <x:c r="D668" s="31" t="s">
        <x:v>639</x:v>
      </x:c>
    </x:row>
    <x:row r="669" ht="34.5" hidden="0" customHeight="1">
      <x:c r="B669" s="30" t="s">
        <x:v>257</x:v>
      </x:c>
      <x:c r="C669" s="30" t="s">
        <x:v>497</x:v>
      </x:c>
      <x:c r="D669" s="30" t="s">
        <x:v>1028</x:v>
      </x:c>
    </x:row>
    <x:row r="670" ht="57.75" hidden="0" customHeight="1">
      <x:c r="B670" s="31" t="s">
        <x:v>257</x:v>
      </x:c>
      <x:c r="C670" s="31" t="s">
        <x:v>499</x:v>
      </x:c>
      <x:c r="D670" s="31" t="s">
        <x:v>1029</x:v>
      </x:c>
    </x:row>
    <x:row r="671" ht="43.5" hidden="0" customHeight="1">
      <x:c r="B671" s="32" t="s">
        <x:v>257</x:v>
      </x:c>
      <x:c r="C671" s="32" t="s">
        <x:v>501</x:v>
      </x:c>
      <x:c r="D671" s="32" t="s">
        <x:v>1013</x:v>
      </x:c>
    </x:row>
    <x:row r="672" ht="129" hidden="0" customHeight="1">
      <x:c r="B672" s="31" t="s">
        <x:v>257</x:v>
      </x:c>
      <x:c r="C672" s="31" t="s">
        <x:v>503</x:v>
      </x:c>
      <x:c r="D672" s="31" t="s">
        <x:v>1030</x:v>
      </x:c>
    </x:row>
    <x:row r="673" ht="72" hidden="0" customHeight="1">
      <x:c r="B673" s="32" t="s">
        <x:v>257</x:v>
      </x:c>
      <x:c r="C673" s="32" t="s">
        <x:v>505</x:v>
      </x:c>
      <x:c r="D673" s="32" t="s">
        <x:v>1031</x:v>
      </x:c>
    </x:row>
    <x:row r="674" ht="72" hidden="0" customHeight="1">
      <x:c r="B674" s="32" t="s">
        <x:v>257</x:v>
      </x:c>
      <x:c r="C674" s="32" t="s">
        <x:v>507</x:v>
      </x:c>
      <x:c r="D674" s="32" t="s">
        <x:v>1032</x:v>
      </x:c>
    </x:row>
    <x:row r="675" ht="43.5" hidden="0" customHeight="1">
      <x:c r="B675" s="31" t="s">
        <x:v>257</x:v>
      </x:c>
      <x:c r="C675" s="31" t="s">
        <x:v>509</x:v>
      </x:c>
      <x:c r="D675" s="31" t="s">
        <x:v>644</x:v>
      </x:c>
    </x:row>
    <x:row r="676" ht="34.5" hidden="0" customHeight="1">
      <x:c r="B676" s="30" t="s">
        <x:v>259</x:v>
      </x:c>
      <x:c r="C676" s="30" t="s">
        <x:v>497</x:v>
      </x:c>
      <x:c r="D676" s="30" t="s">
        <x:v>1033</x:v>
      </x:c>
    </x:row>
    <x:row r="677" ht="114.75" hidden="0" customHeight="1">
      <x:c r="B677" s="31" t="s">
        <x:v>259</x:v>
      </x:c>
      <x:c r="C677" s="31" t="s">
        <x:v>499</x:v>
      </x:c>
      <x:c r="D677" s="31" t="s">
        <x:v>1034</x:v>
      </x:c>
    </x:row>
    <x:row r="678" ht="43.5" hidden="0" customHeight="1">
      <x:c r="B678" s="32" t="s">
        <x:v>259</x:v>
      </x:c>
      <x:c r="C678" s="32" t="s">
        <x:v>501</x:v>
      </x:c>
      <x:c r="D678" s="32" t="s">
        <x:v>1035</x:v>
      </x:c>
    </x:row>
    <x:row r="679" ht="157.5" hidden="0" customHeight="1">
      <x:c r="B679" s="31" t="s">
        <x:v>259</x:v>
      </x:c>
      <x:c r="C679" s="31" t="s">
        <x:v>503</x:v>
      </x:c>
      <x:c r="D679" s="31" t="s">
        <x:v>1036</x:v>
      </x:c>
    </x:row>
    <x:row r="680" ht="100.5" hidden="0" customHeight="1">
      <x:c r="B680" s="32" t="s">
        <x:v>259</x:v>
      </x:c>
      <x:c r="C680" s="32" t="s">
        <x:v>505</x:v>
      </x:c>
      <x:c r="D680" s="32" t="s">
        <x:v>1037</x:v>
      </x:c>
    </x:row>
    <x:row r="681" ht="100.5" hidden="0" customHeight="1">
      <x:c r="B681" s="32" t="s">
        <x:v>259</x:v>
      </x:c>
      <x:c r="C681" s="32" t="s">
        <x:v>507</x:v>
      </x:c>
      <x:c r="D681" s="32" t="s">
        <x:v>1038</x:v>
      </x:c>
    </x:row>
    <x:row r="682" ht="43.5" hidden="0" customHeight="1">
      <x:c r="B682" s="31" t="s">
        <x:v>259</x:v>
      </x:c>
      <x:c r="C682" s="31" t="s">
        <x:v>509</x:v>
      </x:c>
      <x:c r="D682" s="31" t="s">
        <x:v>626</x:v>
      </x:c>
    </x:row>
    <x:row r="683" ht="43.5" hidden="0" customHeight="1">
      <x:c r="B683" s="30" t="s">
        <x:v>261</x:v>
      </x:c>
      <x:c r="C683" s="30" t="s">
        <x:v>497</x:v>
      </x:c>
      <x:c r="D683" s="30" t="s">
        <x:v>1039</x:v>
      </x:c>
    </x:row>
    <x:row r="684" ht="100.5" hidden="0" customHeight="1">
      <x:c r="B684" s="31" t="s">
        <x:v>261</x:v>
      </x:c>
      <x:c r="C684" s="31" t="s">
        <x:v>499</x:v>
      </x:c>
      <x:c r="D684" s="31" t="s">
        <x:v>1040</x:v>
      </x:c>
    </x:row>
    <x:row r="685" ht="43.5" hidden="0" customHeight="1">
      <x:c r="B685" s="32" t="s">
        <x:v>261</x:v>
      </x:c>
      <x:c r="C685" s="32" t="s">
        <x:v>501</x:v>
      </x:c>
      <x:c r="D685" s="32" t="s">
        <x:v>1035</x:v>
      </x:c>
    </x:row>
    <x:row r="686" ht="171.75" hidden="0" customHeight="1">
      <x:c r="B686" s="31" t="s">
        <x:v>261</x:v>
      </x:c>
      <x:c r="C686" s="31" t="s">
        <x:v>503</x:v>
      </x:c>
      <x:c r="D686" s="31" t="s">
        <x:v>1041</x:v>
      </x:c>
    </x:row>
    <x:row r="687" ht="143.25" hidden="0" customHeight="1">
      <x:c r="B687" s="32" t="s">
        <x:v>261</x:v>
      </x:c>
      <x:c r="C687" s="32" t="s">
        <x:v>505</x:v>
      </x:c>
      <x:c r="D687" s="32" t="s">
        <x:v>1042</x:v>
      </x:c>
    </x:row>
    <x:row r="688" ht="143.25" hidden="0" customHeight="1">
      <x:c r="B688" s="32" t="s">
        <x:v>261</x:v>
      </x:c>
      <x:c r="C688" s="32" t="s">
        <x:v>507</x:v>
      </x:c>
      <x:c r="D688" s="32" t="s">
        <x:v>1043</x:v>
      </x:c>
    </x:row>
    <x:row r="689" ht="90" hidden="0" customHeight="1">
      <x:c r="B689" s="32" t="s">
        <x:v>261</x:v>
      </x:c>
      <x:c r="C689" s="32" t="s">
        <x:v>517</x:v>
      </x:c>
      <x:c r="D689" s="32" t="s">
        <x:v>1044</x:v>
      </x:c>
    </x:row>
    <x:row r="690" ht="57.75" hidden="0" customHeight="1">
      <x:c r="B690" s="31" t="s">
        <x:v>261</x:v>
      </x:c>
      <x:c r="C690" s="31" t="s">
        <x:v>509</x:v>
      </x:c>
      <x:c r="D690" s="31" t="s">
        <x:v>633</x:v>
      </x:c>
    </x:row>
    <x:row r="691" ht="43.5" hidden="0" customHeight="1">
      <x:c r="B691" s="30" t="s">
        <x:v>264</x:v>
      </x:c>
      <x:c r="C691" s="30" t="s">
        <x:v>497</x:v>
      </x:c>
      <x:c r="D691" s="30" t="s">
        <x:v>1045</x:v>
      </x:c>
    </x:row>
    <x:row r="692" ht="114.75" hidden="0" customHeight="1">
      <x:c r="B692" s="31" t="s">
        <x:v>264</x:v>
      </x:c>
      <x:c r="C692" s="31" t="s">
        <x:v>499</x:v>
      </x:c>
      <x:c r="D692" s="31" t="s">
        <x:v>1046</x:v>
      </x:c>
    </x:row>
    <x:row r="693" ht="43.5" hidden="0" customHeight="1">
      <x:c r="B693" s="32" t="s">
        <x:v>264</x:v>
      </x:c>
      <x:c r="C693" s="32" t="s">
        <x:v>501</x:v>
      </x:c>
      <x:c r="D693" s="32" t="s">
        <x:v>1035</x:v>
      </x:c>
    </x:row>
    <x:row r="694" ht="186" hidden="0" customHeight="1">
      <x:c r="B694" s="31" t="s">
        <x:v>264</x:v>
      </x:c>
      <x:c r="C694" s="31" t="s">
        <x:v>503</x:v>
      </x:c>
      <x:c r="D694" s="31" t="s">
        <x:v>1047</x:v>
      </x:c>
    </x:row>
    <x:row r="695" ht="129" hidden="0" customHeight="1">
      <x:c r="B695" s="32" t="s">
        <x:v>264</x:v>
      </x:c>
      <x:c r="C695" s="32" t="s">
        <x:v>505</x:v>
      </x:c>
      <x:c r="D695" s="32" t="s">
        <x:v>1048</x:v>
      </x:c>
    </x:row>
    <x:row r="696" ht="129" hidden="0" customHeight="1">
      <x:c r="B696" s="32" t="s">
        <x:v>264</x:v>
      </x:c>
      <x:c r="C696" s="32" t="s">
        <x:v>507</x:v>
      </x:c>
      <x:c r="D696" s="32" t="s">
        <x:v>1049</x:v>
      </x:c>
    </x:row>
    <x:row r="697" ht="43.5" hidden="0" customHeight="1">
      <x:c r="B697" s="31" t="s">
        <x:v>264</x:v>
      </x:c>
      <x:c r="C697" s="31" t="s">
        <x:v>509</x:v>
      </x:c>
      <x:c r="D697" s="31" t="s">
        <x:v>639</x:v>
      </x:c>
    </x:row>
    <x:row r="698" ht="43.5" hidden="0" customHeight="1">
      <x:c r="B698" s="30" t="s">
        <x:v>266</x:v>
      </x:c>
      <x:c r="C698" s="30" t="s">
        <x:v>497</x:v>
      </x:c>
      <x:c r="D698" s="30" t="s">
        <x:v>1050</x:v>
      </x:c>
    </x:row>
    <x:row r="699" ht="72" hidden="0" customHeight="1">
      <x:c r="B699" s="31" t="s">
        <x:v>266</x:v>
      </x:c>
      <x:c r="C699" s="31" t="s">
        <x:v>499</x:v>
      </x:c>
      <x:c r="D699" s="31" t="s">
        <x:v>1051</x:v>
      </x:c>
    </x:row>
    <x:row r="700" ht="43.5" hidden="0" customHeight="1">
      <x:c r="B700" s="32" t="s">
        <x:v>266</x:v>
      </x:c>
      <x:c r="C700" s="32" t="s">
        <x:v>501</x:v>
      </x:c>
      <x:c r="D700" s="32" t="s">
        <x:v>1035</x:v>
      </x:c>
    </x:row>
    <x:row r="701" ht="129" hidden="0" customHeight="1">
      <x:c r="B701" s="31" t="s">
        <x:v>266</x:v>
      </x:c>
      <x:c r="C701" s="31" t="s">
        <x:v>503</x:v>
      </x:c>
      <x:c r="D701" s="31" t="s">
        <x:v>1052</x:v>
      </x:c>
    </x:row>
    <x:row r="702" ht="72" hidden="0" customHeight="1">
      <x:c r="B702" s="32" t="s">
        <x:v>266</x:v>
      </x:c>
      <x:c r="C702" s="32" t="s">
        <x:v>505</x:v>
      </x:c>
      <x:c r="D702" s="32" t="s">
        <x:v>1053</x:v>
      </x:c>
    </x:row>
    <x:row r="703" ht="72" hidden="0" customHeight="1">
      <x:c r="B703" s="32" t="s">
        <x:v>266</x:v>
      </x:c>
      <x:c r="C703" s="32" t="s">
        <x:v>507</x:v>
      </x:c>
      <x:c r="D703" s="32" t="s">
        <x:v>1054</x:v>
      </x:c>
    </x:row>
    <x:row r="704" ht="43.5" hidden="0" customHeight="1">
      <x:c r="B704" s="31" t="s">
        <x:v>266</x:v>
      </x:c>
      <x:c r="C704" s="31" t="s">
        <x:v>509</x:v>
      </x:c>
      <x:c r="D704" s="31" t="s">
        <x:v>711</x:v>
      </x:c>
    </x:row>
    <x:row r="705" ht="34.5" hidden="0" customHeight="1">
      <x:c r="B705" s="30" t="s">
        <x:v>268</x:v>
      </x:c>
      <x:c r="C705" s="30" t="s">
        <x:v>497</x:v>
      </x:c>
      <x:c r="D705" s="30" t="s">
        <x:v>269</x:v>
      </x:c>
    </x:row>
    <x:row r="706" ht="114.75" hidden="0" customHeight="1">
      <x:c r="B706" s="31" t="s">
        <x:v>268</x:v>
      </x:c>
      <x:c r="C706" s="31" t="s">
        <x:v>499</x:v>
      </x:c>
      <x:c r="D706" s="31" t="s">
        <x:v>1055</x:v>
      </x:c>
    </x:row>
    <x:row r="707" ht="57.75" hidden="0" customHeight="1">
      <x:c r="B707" s="32" t="s">
        <x:v>268</x:v>
      </x:c>
      <x:c r="C707" s="32" t="s">
        <x:v>501</x:v>
      </x:c>
      <x:c r="D707" s="32" t="s">
        <x:v>1056</x:v>
      </x:c>
    </x:row>
    <x:row r="708" ht="157.5" hidden="0" customHeight="1">
      <x:c r="B708" s="31" t="s">
        <x:v>268</x:v>
      </x:c>
      <x:c r="C708" s="31" t="s">
        <x:v>503</x:v>
      </x:c>
      <x:c r="D708" s="31" t="s">
        <x:v>1057</x:v>
      </x:c>
    </x:row>
    <x:row r="709" ht="114.75" hidden="0" customHeight="1">
      <x:c r="B709" s="32" t="s">
        <x:v>268</x:v>
      </x:c>
      <x:c r="C709" s="32" t="s">
        <x:v>505</x:v>
      </x:c>
      <x:c r="D709" s="32" t="s">
        <x:v>1058</x:v>
      </x:c>
    </x:row>
    <x:row r="710" ht="114.75" hidden="0" customHeight="1">
      <x:c r="B710" s="32" t="s">
        <x:v>268</x:v>
      </x:c>
      <x:c r="C710" s="32" t="s">
        <x:v>507</x:v>
      </x:c>
      <x:c r="D710" s="32" t="s">
        <x:v>1059</x:v>
      </x:c>
    </x:row>
    <x:row r="711" ht="43.5" hidden="0" customHeight="1">
      <x:c r="B711" s="31" t="s">
        <x:v>268</x:v>
      </x:c>
      <x:c r="C711" s="31" t="s">
        <x:v>509</x:v>
      </x:c>
      <x:c r="D711" s="31" t="s">
        <x:v>626</x:v>
      </x:c>
    </x:row>
    <x:row r="712" ht="43.5" hidden="0" customHeight="1">
      <x:c r="B712" s="30" t="s">
        <x:v>270</x:v>
      </x:c>
      <x:c r="C712" s="30" t="s">
        <x:v>497</x:v>
      </x:c>
      <x:c r="D712" s="30" t="s">
        <x:v>1060</x:v>
      </x:c>
    </x:row>
    <x:row r="713" ht="100.5" hidden="0" customHeight="1">
      <x:c r="B713" s="31" t="s">
        <x:v>270</x:v>
      </x:c>
      <x:c r="C713" s="31" t="s">
        <x:v>499</x:v>
      </x:c>
      <x:c r="D713" s="31" t="s">
        <x:v>1061</x:v>
      </x:c>
    </x:row>
    <x:row r="714" ht="57.75" hidden="0" customHeight="1">
      <x:c r="B714" s="32" t="s">
        <x:v>270</x:v>
      </x:c>
      <x:c r="C714" s="32" t="s">
        <x:v>501</x:v>
      </x:c>
      <x:c r="D714" s="32" t="s">
        <x:v>1056</x:v>
      </x:c>
    </x:row>
    <x:row r="715" ht="171.75" hidden="0" customHeight="1">
      <x:c r="B715" s="31" t="s">
        <x:v>270</x:v>
      </x:c>
      <x:c r="C715" s="31" t="s">
        <x:v>503</x:v>
      </x:c>
      <x:c r="D715" s="31" t="s">
        <x:v>1062</x:v>
      </x:c>
    </x:row>
    <x:row r="716" ht="143.25" hidden="0" customHeight="1">
      <x:c r="B716" s="32" t="s">
        <x:v>270</x:v>
      </x:c>
      <x:c r="C716" s="32" t="s">
        <x:v>505</x:v>
      </x:c>
      <x:c r="D716" s="32" t="s">
        <x:v>1063</x:v>
      </x:c>
    </x:row>
    <x:row r="717" ht="143.25" hidden="0" customHeight="1">
      <x:c r="B717" s="32" t="s">
        <x:v>270</x:v>
      </x:c>
      <x:c r="C717" s="32" t="s">
        <x:v>507</x:v>
      </x:c>
      <x:c r="D717" s="32" t="s">
        <x:v>1064</x:v>
      </x:c>
    </x:row>
    <x:row r="718" ht="90" hidden="0" customHeight="1">
      <x:c r="B718" s="32" t="s">
        <x:v>270</x:v>
      </x:c>
      <x:c r="C718" s="32" t="s">
        <x:v>517</x:v>
      </x:c>
      <x:c r="D718" s="32" t="s">
        <x:v>1065</x:v>
      </x:c>
    </x:row>
    <x:row r="719" ht="57.75" hidden="0" customHeight="1">
      <x:c r="B719" s="31" t="s">
        <x:v>270</x:v>
      </x:c>
      <x:c r="C719" s="31" t="s">
        <x:v>509</x:v>
      </x:c>
      <x:c r="D719" s="31" t="s">
        <x:v>633</x:v>
      </x:c>
    </x:row>
    <x:row r="720" ht="43.5" hidden="0" customHeight="1">
      <x:c r="B720" s="30" t="s">
        <x:v>272</x:v>
      </x:c>
      <x:c r="C720" s="30" t="s">
        <x:v>497</x:v>
      </x:c>
      <x:c r="D720" s="30" t="s">
        <x:v>1066</x:v>
      </x:c>
    </x:row>
    <x:row r="721" ht="114.75" hidden="0" customHeight="1">
      <x:c r="B721" s="31" t="s">
        <x:v>272</x:v>
      </x:c>
      <x:c r="C721" s="31" t="s">
        <x:v>499</x:v>
      </x:c>
      <x:c r="D721" s="31" t="s">
        <x:v>1067</x:v>
      </x:c>
    </x:row>
    <x:row r="722" ht="57.75" hidden="0" customHeight="1">
      <x:c r="B722" s="32" t="s">
        <x:v>272</x:v>
      </x:c>
      <x:c r="C722" s="32" t="s">
        <x:v>501</x:v>
      </x:c>
      <x:c r="D722" s="32" t="s">
        <x:v>1056</x:v>
      </x:c>
    </x:row>
    <x:row r="723" ht="186" hidden="0" customHeight="1">
      <x:c r="B723" s="31" t="s">
        <x:v>272</x:v>
      </x:c>
      <x:c r="C723" s="31" t="s">
        <x:v>503</x:v>
      </x:c>
      <x:c r="D723" s="31" t="s">
        <x:v>1068</x:v>
      </x:c>
    </x:row>
    <x:row r="724" ht="129" hidden="0" customHeight="1">
      <x:c r="B724" s="32" t="s">
        <x:v>272</x:v>
      </x:c>
      <x:c r="C724" s="32" t="s">
        <x:v>505</x:v>
      </x:c>
      <x:c r="D724" s="32" t="s">
        <x:v>1069</x:v>
      </x:c>
    </x:row>
    <x:row r="725" ht="129" hidden="0" customHeight="1">
      <x:c r="B725" s="32" t="s">
        <x:v>272</x:v>
      </x:c>
      <x:c r="C725" s="32" t="s">
        <x:v>507</x:v>
      </x:c>
      <x:c r="D725" s="32" t="s">
        <x:v>1070</x:v>
      </x:c>
    </x:row>
    <x:row r="726" ht="43.5" hidden="0" customHeight="1">
      <x:c r="B726" s="31" t="s">
        <x:v>272</x:v>
      </x:c>
      <x:c r="C726" s="31" t="s">
        <x:v>509</x:v>
      </x:c>
      <x:c r="D726" s="31" t="s">
        <x:v>639</x:v>
      </x:c>
    </x:row>
    <x:row r="727" ht="34.5" hidden="0" customHeight="1">
      <x:c r="B727" s="30" t="s">
        <x:v>274</x:v>
      </x:c>
      <x:c r="C727" s="30" t="s">
        <x:v>497</x:v>
      </x:c>
      <x:c r="D727" s="30" t="s">
        <x:v>1071</x:v>
      </x:c>
    </x:row>
    <x:row r="728" ht="57.75" hidden="0" customHeight="1">
      <x:c r="B728" s="31" t="s">
        <x:v>274</x:v>
      </x:c>
      <x:c r="C728" s="31" t="s">
        <x:v>499</x:v>
      </x:c>
      <x:c r="D728" s="31" t="s">
        <x:v>1072</x:v>
      </x:c>
    </x:row>
    <x:row r="729" ht="57.75" hidden="0" customHeight="1">
      <x:c r="B729" s="32" t="s">
        <x:v>274</x:v>
      </x:c>
      <x:c r="C729" s="32" t="s">
        <x:v>501</x:v>
      </x:c>
      <x:c r="D729" s="32" t="s">
        <x:v>1056</x:v>
      </x:c>
    </x:row>
    <x:row r="730" ht="129" hidden="0" customHeight="1">
      <x:c r="B730" s="31" t="s">
        <x:v>274</x:v>
      </x:c>
      <x:c r="C730" s="31" t="s">
        <x:v>503</x:v>
      </x:c>
      <x:c r="D730" s="31" t="s">
        <x:v>1073</x:v>
      </x:c>
    </x:row>
    <x:row r="731" ht="72" hidden="0" customHeight="1">
      <x:c r="B731" s="32" t="s">
        <x:v>274</x:v>
      </x:c>
      <x:c r="C731" s="32" t="s">
        <x:v>505</x:v>
      </x:c>
      <x:c r="D731" s="32" t="s">
        <x:v>1074</x:v>
      </x:c>
    </x:row>
    <x:row r="732" ht="72" hidden="0" customHeight="1">
      <x:c r="B732" s="32" t="s">
        <x:v>274</x:v>
      </x:c>
      <x:c r="C732" s="32" t="s">
        <x:v>507</x:v>
      </x:c>
      <x:c r="D732" s="32" t="s">
        <x:v>1075</x:v>
      </x:c>
    </x:row>
    <x:row r="733" ht="43.5" hidden="0" customHeight="1">
      <x:c r="B733" s="31" t="s">
        <x:v>274</x:v>
      </x:c>
      <x:c r="C733" s="31" t="s">
        <x:v>509</x:v>
      </x:c>
      <x:c r="D733" s="31" t="s">
        <x:v>644</x:v>
      </x:c>
    </x:row>
    <x:row r="734" ht="34.5" hidden="0" customHeight="1">
      <x:c r="B734" s="30" t="s">
        <x:v>276</x:v>
      </x:c>
      <x:c r="C734" s="30" t="s">
        <x:v>497</x:v>
      </x:c>
      <x:c r="D734" s="30" t="s">
        <x:v>1076</x:v>
      </x:c>
    </x:row>
    <x:row r="735" ht="114.75" hidden="0" customHeight="1">
      <x:c r="B735" s="31" t="s">
        <x:v>276</x:v>
      </x:c>
      <x:c r="C735" s="31" t="s">
        <x:v>499</x:v>
      </x:c>
      <x:c r="D735" s="31" t="s">
        <x:v>1077</x:v>
      </x:c>
    </x:row>
    <x:row r="736" ht="43.5" hidden="0" customHeight="1">
      <x:c r="B736" s="32" t="s">
        <x:v>276</x:v>
      </x:c>
      <x:c r="C736" s="32" t="s">
        <x:v>501</x:v>
      </x:c>
      <x:c r="D736" s="32" t="s">
        <x:v>1078</x:v>
      </x:c>
    </x:row>
    <x:row r="737" ht="157.5" hidden="0" customHeight="1">
      <x:c r="B737" s="31" t="s">
        <x:v>276</x:v>
      </x:c>
      <x:c r="C737" s="31" t="s">
        <x:v>503</x:v>
      </x:c>
      <x:c r="D737" s="31" t="s">
        <x:v>1079</x:v>
      </x:c>
    </x:row>
    <x:row r="738" ht="114.75" hidden="0" customHeight="1">
      <x:c r="B738" s="32" t="s">
        <x:v>276</x:v>
      </x:c>
      <x:c r="C738" s="32" t="s">
        <x:v>505</x:v>
      </x:c>
      <x:c r="D738" s="32" t="s">
        <x:v>1080</x:v>
      </x:c>
    </x:row>
    <x:row r="739" ht="114.75" hidden="0" customHeight="1">
      <x:c r="B739" s="32" t="s">
        <x:v>276</x:v>
      </x:c>
      <x:c r="C739" s="32" t="s">
        <x:v>507</x:v>
      </x:c>
      <x:c r="D739" s="32" t="s">
        <x:v>1081</x:v>
      </x:c>
    </x:row>
    <x:row r="740" ht="43.5" hidden="0" customHeight="1">
      <x:c r="B740" s="31" t="s">
        <x:v>276</x:v>
      </x:c>
      <x:c r="C740" s="31" t="s">
        <x:v>509</x:v>
      </x:c>
      <x:c r="D740" s="31" t="s">
        <x:v>626</x:v>
      </x:c>
    </x:row>
    <x:row r="741" ht="43.5" hidden="0" customHeight="1">
      <x:c r="B741" s="30" t="s">
        <x:v>278</x:v>
      </x:c>
      <x:c r="C741" s="30" t="s">
        <x:v>497</x:v>
      </x:c>
      <x:c r="D741" s="30" t="s">
        <x:v>1082</x:v>
      </x:c>
    </x:row>
    <x:row r="742" ht="100.5" hidden="0" customHeight="1">
      <x:c r="B742" s="31" t="s">
        <x:v>278</x:v>
      </x:c>
      <x:c r="C742" s="31" t="s">
        <x:v>499</x:v>
      </x:c>
      <x:c r="D742" s="31" t="s">
        <x:v>1083</x:v>
      </x:c>
    </x:row>
    <x:row r="743" ht="43.5" hidden="0" customHeight="1">
      <x:c r="B743" s="32" t="s">
        <x:v>278</x:v>
      </x:c>
      <x:c r="C743" s="32" t="s">
        <x:v>501</x:v>
      </x:c>
      <x:c r="D743" s="32" t="s">
        <x:v>1078</x:v>
      </x:c>
    </x:row>
    <x:row r="744" ht="171.75" hidden="0" customHeight="1">
      <x:c r="B744" s="31" t="s">
        <x:v>278</x:v>
      </x:c>
      <x:c r="C744" s="31" t="s">
        <x:v>503</x:v>
      </x:c>
      <x:c r="D744" s="31" t="s">
        <x:v>1084</x:v>
      </x:c>
    </x:row>
    <x:row r="745" ht="143.25" hidden="0" customHeight="1">
      <x:c r="B745" s="32" t="s">
        <x:v>278</x:v>
      </x:c>
      <x:c r="C745" s="32" t="s">
        <x:v>505</x:v>
      </x:c>
      <x:c r="D745" s="32" t="s">
        <x:v>1085</x:v>
      </x:c>
    </x:row>
    <x:row r="746" ht="143.25" hidden="0" customHeight="1">
      <x:c r="B746" s="32" t="s">
        <x:v>278</x:v>
      </x:c>
      <x:c r="C746" s="32" t="s">
        <x:v>507</x:v>
      </x:c>
      <x:c r="D746" s="32" t="s">
        <x:v>1086</x:v>
      </x:c>
    </x:row>
    <x:row r="747" ht="90" hidden="0" customHeight="1">
      <x:c r="B747" s="32" t="s">
        <x:v>278</x:v>
      </x:c>
      <x:c r="C747" s="32" t="s">
        <x:v>517</x:v>
      </x:c>
      <x:c r="D747" s="32" t="s">
        <x:v>1087</x:v>
      </x:c>
    </x:row>
    <x:row r="748" ht="57.75" hidden="0" customHeight="1">
      <x:c r="B748" s="31" t="s">
        <x:v>278</x:v>
      </x:c>
      <x:c r="C748" s="31" t="s">
        <x:v>509</x:v>
      </x:c>
      <x:c r="D748" s="31" t="s">
        <x:v>633</x:v>
      </x:c>
    </x:row>
    <x:row r="749" ht="43.5" hidden="0" customHeight="1">
      <x:c r="B749" s="30" t="s">
        <x:v>280</x:v>
      </x:c>
      <x:c r="C749" s="30" t="s">
        <x:v>497</x:v>
      </x:c>
      <x:c r="D749" s="30" t="s">
        <x:v>1088</x:v>
      </x:c>
    </x:row>
    <x:row r="750" ht="114.75" hidden="0" customHeight="1">
      <x:c r="B750" s="31" t="s">
        <x:v>280</x:v>
      </x:c>
      <x:c r="C750" s="31" t="s">
        <x:v>499</x:v>
      </x:c>
      <x:c r="D750" s="31" t="s">
        <x:v>1089</x:v>
      </x:c>
    </x:row>
    <x:row r="751" ht="43.5" hidden="0" customHeight="1">
      <x:c r="B751" s="32" t="s">
        <x:v>280</x:v>
      </x:c>
      <x:c r="C751" s="32" t="s">
        <x:v>501</x:v>
      </x:c>
      <x:c r="D751" s="32" t="s">
        <x:v>1078</x:v>
      </x:c>
    </x:row>
    <x:row r="752" ht="186" hidden="0" customHeight="1">
      <x:c r="B752" s="31" t="s">
        <x:v>280</x:v>
      </x:c>
      <x:c r="C752" s="31" t="s">
        <x:v>503</x:v>
      </x:c>
      <x:c r="D752" s="31" t="s">
        <x:v>1090</x:v>
      </x:c>
    </x:row>
    <x:row r="753" ht="129" hidden="0" customHeight="1">
      <x:c r="B753" s="32" t="s">
        <x:v>280</x:v>
      </x:c>
      <x:c r="C753" s="32" t="s">
        <x:v>505</x:v>
      </x:c>
      <x:c r="D753" s="32" t="s">
        <x:v>1091</x:v>
      </x:c>
    </x:row>
    <x:row r="754" ht="129" hidden="0" customHeight="1">
      <x:c r="B754" s="32" t="s">
        <x:v>280</x:v>
      </x:c>
      <x:c r="C754" s="32" t="s">
        <x:v>507</x:v>
      </x:c>
      <x:c r="D754" s="32" t="s">
        <x:v>1092</x:v>
      </x:c>
    </x:row>
    <x:row r="755" ht="43.5" hidden="0" customHeight="1">
      <x:c r="B755" s="31" t="s">
        <x:v>280</x:v>
      </x:c>
      <x:c r="C755" s="31" t="s">
        <x:v>509</x:v>
      </x:c>
      <x:c r="D755" s="31" t="s">
        <x:v>639</x:v>
      </x:c>
    </x:row>
    <x:row r="756" ht="34.5" hidden="0" customHeight="1">
      <x:c r="B756" s="30" t="s">
        <x:v>282</x:v>
      </x:c>
      <x:c r="C756" s="30" t="s">
        <x:v>497</x:v>
      </x:c>
      <x:c r="D756" s="30" t="s">
        <x:v>1093</x:v>
      </x:c>
    </x:row>
    <x:row r="757" ht="57.75" hidden="0" customHeight="1">
      <x:c r="B757" s="31" t="s">
        <x:v>282</x:v>
      </x:c>
      <x:c r="C757" s="31" t="s">
        <x:v>499</x:v>
      </x:c>
      <x:c r="D757" s="31" t="s">
        <x:v>1094</x:v>
      </x:c>
    </x:row>
    <x:row r="758" ht="43.5" hidden="0" customHeight="1">
      <x:c r="B758" s="32" t="s">
        <x:v>282</x:v>
      </x:c>
      <x:c r="C758" s="32" t="s">
        <x:v>501</x:v>
      </x:c>
      <x:c r="D758" s="32" t="s">
        <x:v>1078</x:v>
      </x:c>
    </x:row>
    <x:row r="759" ht="129" hidden="0" customHeight="1">
      <x:c r="B759" s="31" t="s">
        <x:v>282</x:v>
      </x:c>
      <x:c r="C759" s="31" t="s">
        <x:v>503</x:v>
      </x:c>
      <x:c r="D759" s="31" t="s">
        <x:v>1095</x:v>
      </x:c>
    </x:row>
    <x:row r="760" ht="72" hidden="0" customHeight="1">
      <x:c r="B760" s="32" t="s">
        <x:v>282</x:v>
      </x:c>
      <x:c r="C760" s="32" t="s">
        <x:v>505</x:v>
      </x:c>
      <x:c r="D760" s="32" t="s">
        <x:v>1096</x:v>
      </x:c>
    </x:row>
    <x:row r="761" ht="72" hidden="0" customHeight="1">
      <x:c r="B761" s="32" t="s">
        <x:v>282</x:v>
      </x:c>
      <x:c r="C761" s="32" t="s">
        <x:v>507</x:v>
      </x:c>
      <x:c r="D761" s="32" t="s">
        <x:v>1097</x:v>
      </x:c>
    </x:row>
    <x:row r="762" ht="43.5" hidden="0" customHeight="1">
      <x:c r="B762" s="31" t="s">
        <x:v>282</x:v>
      </x:c>
      <x:c r="C762" s="31" t="s">
        <x:v>509</x:v>
      </x:c>
      <x:c r="D762" s="31" t="s">
        <x:v>644</x:v>
      </x:c>
    </x:row>
    <x:row r="763" ht="34.5" hidden="0" customHeight="1">
      <x:c r="B763" s="30" t="s">
        <x:v>284</x:v>
      </x:c>
      <x:c r="C763" s="30" t="s">
        <x:v>497</x:v>
      </x:c>
      <x:c r="D763" s="30" t="s">
        <x:v>285</x:v>
      </x:c>
    </x:row>
    <x:row r="764" ht="129" hidden="0" customHeight="1">
      <x:c r="B764" s="31" t="s">
        <x:v>284</x:v>
      </x:c>
      <x:c r="C764" s="31" t="s">
        <x:v>499</x:v>
      </x:c>
      <x:c r="D764" s="31" t="s">
        <x:v>1098</x:v>
      </x:c>
    </x:row>
    <x:row r="765" ht="43.5" hidden="0" customHeight="1">
      <x:c r="B765" s="32" t="s">
        <x:v>284</x:v>
      </x:c>
      <x:c r="C765" s="32" t="s">
        <x:v>501</x:v>
      </x:c>
      <x:c r="D765" s="32" t="s">
        <x:v>1099</x:v>
      </x:c>
    </x:row>
    <x:row r="766" ht="171.75" hidden="0" customHeight="1">
      <x:c r="B766" s="31" t="s">
        <x:v>284</x:v>
      </x:c>
      <x:c r="C766" s="31" t="s">
        <x:v>503</x:v>
      </x:c>
      <x:c r="D766" s="31" t="s">
        <x:v>1100</x:v>
      </x:c>
    </x:row>
    <x:row r="767" ht="100.5" hidden="0" customHeight="1">
      <x:c r="B767" s="32" t="s">
        <x:v>284</x:v>
      </x:c>
      <x:c r="C767" s="32" t="s">
        <x:v>505</x:v>
      </x:c>
      <x:c r="D767" s="32" t="s">
        <x:v>1101</x:v>
      </x:c>
    </x:row>
    <x:row r="768" ht="100.5" hidden="0" customHeight="1">
      <x:c r="B768" s="32" t="s">
        <x:v>284</x:v>
      </x:c>
      <x:c r="C768" s="32" t="s">
        <x:v>507</x:v>
      </x:c>
      <x:c r="D768" s="32" t="s">
        <x:v>1102</x:v>
      </x:c>
    </x:row>
    <x:row r="769" ht="43.5" hidden="0" customHeight="1">
      <x:c r="B769" s="31" t="s">
        <x:v>284</x:v>
      </x:c>
      <x:c r="C769" s="31" t="s">
        <x:v>509</x:v>
      </x:c>
      <x:c r="D769" s="31" t="s">
        <x:v>626</x:v>
      </x:c>
    </x:row>
    <x:row r="770" ht="43.5" hidden="0" customHeight="1">
      <x:c r="B770" s="30" t="s">
        <x:v>286</x:v>
      </x:c>
      <x:c r="C770" s="30" t="s">
        <x:v>497</x:v>
      </x:c>
      <x:c r="D770" s="30" t="s">
        <x:v>1103</x:v>
      </x:c>
    </x:row>
    <x:row r="771" ht="114.75" hidden="0" customHeight="1">
      <x:c r="B771" s="31" t="s">
        <x:v>286</x:v>
      </x:c>
      <x:c r="C771" s="31" t="s">
        <x:v>499</x:v>
      </x:c>
      <x:c r="D771" s="31" t="s">
        <x:v>1104</x:v>
      </x:c>
    </x:row>
    <x:row r="772" ht="43.5" hidden="0" customHeight="1">
      <x:c r="B772" s="32" t="s">
        <x:v>286</x:v>
      </x:c>
      <x:c r="C772" s="32" t="s">
        <x:v>501</x:v>
      </x:c>
      <x:c r="D772" s="32" t="s">
        <x:v>1099</x:v>
      </x:c>
    </x:row>
    <x:row r="773" ht="186" hidden="0" customHeight="1">
      <x:c r="B773" s="31" t="s">
        <x:v>286</x:v>
      </x:c>
      <x:c r="C773" s="31" t="s">
        <x:v>503</x:v>
      </x:c>
      <x:c r="D773" s="31" t="s">
        <x:v>1105</x:v>
      </x:c>
    </x:row>
    <x:row r="774" ht="157.5" hidden="0" customHeight="1">
      <x:c r="B774" s="32" t="s">
        <x:v>286</x:v>
      </x:c>
      <x:c r="C774" s="32" t="s">
        <x:v>505</x:v>
      </x:c>
      <x:c r="D774" s="32" t="s">
        <x:v>1106</x:v>
      </x:c>
    </x:row>
    <x:row r="775" ht="157.5" hidden="0" customHeight="1">
      <x:c r="B775" s="32" t="s">
        <x:v>286</x:v>
      </x:c>
      <x:c r="C775" s="32" t="s">
        <x:v>507</x:v>
      </x:c>
      <x:c r="D775" s="32" t="s">
        <x:v>1107</x:v>
      </x:c>
    </x:row>
    <x:row r="776" ht="90" hidden="0" customHeight="1">
      <x:c r="B776" s="32" t="s">
        <x:v>286</x:v>
      </x:c>
      <x:c r="C776" s="32" t="s">
        <x:v>517</x:v>
      </x:c>
      <x:c r="D776" s="32" t="s">
        <x:v>1108</x:v>
      </x:c>
    </x:row>
    <x:row r="777" ht="57.75" hidden="0" customHeight="1">
      <x:c r="B777" s="31" t="s">
        <x:v>286</x:v>
      </x:c>
      <x:c r="C777" s="31" t="s">
        <x:v>509</x:v>
      </x:c>
      <x:c r="D777" s="31" t="s">
        <x:v>633</x:v>
      </x:c>
    </x:row>
    <x:row r="778" ht="43.5" hidden="0" customHeight="1">
      <x:c r="B778" s="30" t="s">
        <x:v>288</x:v>
      </x:c>
      <x:c r="C778" s="30" t="s">
        <x:v>497</x:v>
      </x:c>
      <x:c r="D778" s="30" t="s">
        <x:v>1109</x:v>
      </x:c>
    </x:row>
    <x:row r="779" ht="114.75" hidden="0" customHeight="1">
      <x:c r="B779" s="31" t="s">
        <x:v>288</x:v>
      </x:c>
      <x:c r="C779" s="31" t="s">
        <x:v>499</x:v>
      </x:c>
      <x:c r="D779" s="31" t="s">
        <x:v>1110</x:v>
      </x:c>
    </x:row>
    <x:row r="780" ht="43.5" hidden="0" customHeight="1">
      <x:c r="B780" s="32" t="s">
        <x:v>288</x:v>
      </x:c>
      <x:c r="C780" s="32" t="s">
        <x:v>501</x:v>
      </x:c>
      <x:c r="D780" s="32" t="s">
        <x:v>1099</x:v>
      </x:c>
    </x:row>
    <x:row r="781" ht="186" hidden="0" customHeight="1">
      <x:c r="B781" s="31" t="s">
        <x:v>288</x:v>
      </x:c>
      <x:c r="C781" s="31" t="s">
        <x:v>503</x:v>
      </x:c>
      <x:c r="D781" s="31" t="s">
        <x:v>1111</x:v>
      </x:c>
    </x:row>
    <x:row r="782" ht="129" hidden="0" customHeight="1">
      <x:c r="B782" s="32" t="s">
        <x:v>288</x:v>
      </x:c>
      <x:c r="C782" s="32" t="s">
        <x:v>505</x:v>
      </x:c>
      <x:c r="D782" s="32" t="s">
        <x:v>1112</x:v>
      </x:c>
    </x:row>
    <x:row r="783" ht="129" hidden="0" customHeight="1">
      <x:c r="B783" s="32" t="s">
        <x:v>288</x:v>
      </x:c>
      <x:c r="C783" s="32" t="s">
        <x:v>507</x:v>
      </x:c>
      <x:c r="D783" s="32" t="s">
        <x:v>1113</x:v>
      </x:c>
    </x:row>
    <x:row r="784" ht="43.5" hidden="0" customHeight="1">
      <x:c r="B784" s="31" t="s">
        <x:v>288</x:v>
      </x:c>
      <x:c r="C784" s="31" t="s">
        <x:v>509</x:v>
      </x:c>
      <x:c r="D784" s="31" t="s">
        <x:v>639</x:v>
      </x:c>
    </x:row>
    <x:row r="785" ht="34.5" hidden="0" customHeight="1">
      <x:c r="B785" s="30" t="s">
        <x:v>290</x:v>
      </x:c>
      <x:c r="C785" s="30" t="s">
        <x:v>497</x:v>
      </x:c>
      <x:c r="D785" s="30" t="s">
        <x:v>1114</x:v>
      </x:c>
    </x:row>
    <x:row r="786" ht="57.75" hidden="0" customHeight="1">
      <x:c r="B786" s="31" t="s">
        <x:v>290</x:v>
      </x:c>
      <x:c r="C786" s="31" t="s">
        <x:v>499</x:v>
      </x:c>
      <x:c r="D786" s="31" t="s">
        <x:v>1115</x:v>
      </x:c>
    </x:row>
    <x:row r="787" ht="43.5" hidden="0" customHeight="1">
      <x:c r="B787" s="32" t="s">
        <x:v>290</x:v>
      </x:c>
      <x:c r="C787" s="32" t="s">
        <x:v>501</x:v>
      </x:c>
      <x:c r="D787" s="32" t="s">
        <x:v>1099</x:v>
      </x:c>
    </x:row>
    <x:row r="788" ht="129" hidden="0" customHeight="1">
      <x:c r="B788" s="31" t="s">
        <x:v>290</x:v>
      </x:c>
      <x:c r="C788" s="31" t="s">
        <x:v>503</x:v>
      </x:c>
      <x:c r="D788" s="31" t="s">
        <x:v>1116</x:v>
      </x:c>
    </x:row>
    <x:row r="789" ht="72" hidden="0" customHeight="1">
      <x:c r="B789" s="32" t="s">
        <x:v>290</x:v>
      </x:c>
      <x:c r="C789" s="32" t="s">
        <x:v>505</x:v>
      </x:c>
      <x:c r="D789" s="32" t="s">
        <x:v>1117</x:v>
      </x:c>
    </x:row>
    <x:row r="790" ht="72" hidden="0" customHeight="1">
      <x:c r="B790" s="32" t="s">
        <x:v>290</x:v>
      </x:c>
      <x:c r="C790" s="32" t="s">
        <x:v>507</x:v>
      </x:c>
      <x:c r="D790" s="32" t="s">
        <x:v>1118</x:v>
      </x:c>
    </x:row>
    <x:row r="791" ht="43.5" hidden="0" customHeight="1">
      <x:c r="B791" s="31" t="s">
        <x:v>290</x:v>
      </x:c>
      <x:c r="C791" s="31" t="s">
        <x:v>509</x:v>
      </x:c>
      <x:c r="D791" s="31" t="s">
        <x:v>644</x:v>
      </x:c>
    </x:row>
    <x:row r="792" ht="34.5" hidden="0" customHeight="1">
      <x:c r="B792" s="30" t="s">
        <x:v>292</x:v>
      </x:c>
      <x:c r="C792" s="30" t="s">
        <x:v>497</x:v>
      </x:c>
      <x:c r="D792" s="30" t="s">
        <x:v>293</x:v>
      </x:c>
    </x:row>
    <x:row r="793" ht="129" hidden="0" customHeight="1">
      <x:c r="B793" s="31" t="s">
        <x:v>292</x:v>
      </x:c>
      <x:c r="C793" s="31" t="s">
        <x:v>499</x:v>
      </x:c>
      <x:c r="D793" s="31" t="s">
        <x:v>1119</x:v>
      </x:c>
    </x:row>
    <x:row r="794" ht="43.5" hidden="0" customHeight="1">
      <x:c r="B794" s="32" t="s">
        <x:v>292</x:v>
      </x:c>
      <x:c r="C794" s="32" t="s">
        <x:v>501</x:v>
      </x:c>
      <x:c r="D794" s="32" t="s">
        <x:v>1120</x:v>
      </x:c>
    </x:row>
    <x:row r="795" ht="171.75" hidden="0" customHeight="1">
      <x:c r="B795" s="31" t="s">
        <x:v>292</x:v>
      </x:c>
      <x:c r="C795" s="31" t="s">
        <x:v>503</x:v>
      </x:c>
      <x:c r="D795" s="31" t="s">
        <x:v>1121</x:v>
      </x:c>
    </x:row>
    <x:row r="796" ht="100.5" hidden="0" customHeight="1">
      <x:c r="B796" s="32" t="s">
        <x:v>292</x:v>
      </x:c>
      <x:c r="C796" s="32" t="s">
        <x:v>505</x:v>
      </x:c>
      <x:c r="D796" s="32" t="s">
        <x:v>1122</x:v>
      </x:c>
    </x:row>
    <x:row r="797" ht="100.5" hidden="0" customHeight="1">
      <x:c r="B797" s="32" t="s">
        <x:v>292</x:v>
      </x:c>
      <x:c r="C797" s="32" t="s">
        <x:v>507</x:v>
      </x:c>
      <x:c r="D797" s="32" t="s">
        <x:v>1123</x:v>
      </x:c>
    </x:row>
    <x:row r="798" ht="43.5" hidden="0" customHeight="1">
      <x:c r="B798" s="31" t="s">
        <x:v>292</x:v>
      </x:c>
      <x:c r="C798" s="31" t="s">
        <x:v>509</x:v>
      </x:c>
      <x:c r="D798" s="31" t="s">
        <x:v>626</x:v>
      </x:c>
    </x:row>
    <x:row r="799" ht="43.5" hidden="0" customHeight="1">
      <x:c r="B799" s="30" t="s">
        <x:v>294</x:v>
      </x:c>
      <x:c r="C799" s="30" t="s">
        <x:v>497</x:v>
      </x:c>
      <x:c r="D799" s="30" t="s">
        <x:v>1124</x:v>
      </x:c>
    </x:row>
    <x:row r="800" ht="114.75" hidden="0" customHeight="1">
      <x:c r="B800" s="31" t="s">
        <x:v>294</x:v>
      </x:c>
      <x:c r="C800" s="31" t="s">
        <x:v>499</x:v>
      </x:c>
      <x:c r="D800" s="31" t="s">
        <x:v>1125</x:v>
      </x:c>
    </x:row>
    <x:row r="801" ht="43.5" hidden="0" customHeight="1">
      <x:c r="B801" s="32" t="s">
        <x:v>294</x:v>
      </x:c>
      <x:c r="C801" s="32" t="s">
        <x:v>501</x:v>
      </x:c>
      <x:c r="D801" s="32" t="s">
        <x:v>1120</x:v>
      </x:c>
    </x:row>
    <x:row r="802" ht="186" hidden="0" customHeight="1">
      <x:c r="B802" s="31" t="s">
        <x:v>294</x:v>
      </x:c>
      <x:c r="C802" s="31" t="s">
        <x:v>503</x:v>
      </x:c>
      <x:c r="D802" s="31" t="s">
        <x:v>1126</x:v>
      </x:c>
    </x:row>
    <x:row r="803" ht="157.5" hidden="0" customHeight="1">
      <x:c r="B803" s="32" t="s">
        <x:v>294</x:v>
      </x:c>
      <x:c r="C803" s="32" t="s">
        <x:v>505</x:v>
      </x:c>
      <x:c r="D803" s="32" t="s">
        <x:v>1127</x:v>
      </x:c>
    </x:row>
    <x:row r="804" ht="157.5" hidden="0" customHeight="1">
      <x:c r="B804" s="32" t="s">
        <x:v>294</x:v>
      </x:c>
      <x:c r="C804" s="32" t="s">
        <x:v>507</x:v>
      </x:c>
      <x:c r="D804" s="32" t="s">
        <x:v>1128</x:v>
      </x:c>
    </x:row>
    <x:row r="805" ht="90" hidden="0" customHeight="1">
      <x:c r="B805" s="32" t="s">
        <x:v>294</x:v>
      </x:c>
      <x:c r="C805" s="32" t="s">
        <x:v>517</x:v>
      </x:c>
      <x:c r="D805" s="32" t="s">
        <x:v>1129</x:v>
      </x:c>
    </x:row>
    <x:row r="806" ht="57.75" hidden="0" customHeight="1">
      <x:c r="B806" s="31" t="s">
        <x:v>294</x:v>
      </x:c>
      <x:c r="C806" s="31" t="s">
        <x:v>509</x:v>
      </x:c>
      <x:c r="D806" s="31" t="s">
        <x:v>633</x:v>
      </x:c>
    </x:row>
    <x:row r="807" ht="43.5" hidden="0" customHeight="1">
      <x:c r="B807" s="30" t="s">
        <x:v>296</x:v>
      </x:c>
      <x:c r="C807" s="30" t="s">
        <x:v>497</x:v>
      </x:c>
      <x:c r="D807" s="30" t="s">
        <x:v>1130</x:v>
      </x:c>
    </x:row>
    <x:row r="808" ht="114.75" hidden="0" customHeight="1">
      <x:c r="B808" s="31" t="s">
        <x:v>296</x:v>
      </x:c>
      <x:c r="C808" s="31" t="s">
        <x:v>499</x:v>
      </x:c>
      <x:c r="D808" s="31" t="s">
        <x:v>1131</x:v>
      </x:c>
    </x:row>
    <x:row r="809" ht="43.5" hidden="0" customHeight="1">
      <x:c r="B809" s="32" t="s">
        <x:v>296</x:v>
      </x:c>
      <x:c r="C809" s="32" t="s">
        <x:v>501</x:v>
      </x:c>
      <x:c r="D809" s="32" t="s">
        <x:v>1120</x:v>
      </x:c>
    </x:row>
    <x:row r="810" ht="186" hidden="0" customHeight="1">
      <x:c r="B810" s="31" t="s">
        <x:v>296</x:v>
      </x:c>
      <x:c r="C810" s="31" t="s">
        <x:v>503</x:v>
      </x:c>
      <x:c r="D810" s="31" t="s">
        <x:v>1132</x:v>
      </x:c>
    </x:row>
    <x:row r="811" ht="129" hidden="0" customHeight="1">
      <x:c r="B811" s="32" t="s">
        <x:v>296</x:v>
      </x:c>
      <x:c r="C811" s="32" t="s">
        <x:v>505</x:v>
      </x:c>
      <x:c r="D811" s="32" t="s">
        <x:v>1133</x:v>
      </x:c>
    </x:row>
    <x:row r="812" ht="129" hidden="0" customHeight="1">
      <x:c r="B812" s="32" t="s">
        <x:v>296</x:v>
      </x:c>
      <x:c r="C812" s="32" t="s">
        <x:v>507</x:v>
      </x:c>
      <x:c r="D812" s="32" t="s">
        <x:v>1134</x:v>
      </x:c>
    </x:row>
    <x:row r="813" ht="43.5" hidden="0" customHeight="1">
      <x:c r="B813" s="31" t="s">
        <x:v>296</x:v>
      </x:c>
      <x:c r="C813" s="31" t="s">
        <x:v>509</x:v>
      </x:c>
      <x:c r="D813" s="31" t="s">
        <x:v>639</x:v>
      </x:c>
    </x:row>
    <x:row r="814" ht="43.5" hidden="0" customHeight="1">
      <x:c r="B814" s="30" t="s">
        <x:v>298</x:v>
      </x:c>
      <x:c r="C814" s="30" t="s">
        <x:v>497</x:v>
      </x:c>
      <x:c r="D814" s="30" t="s">
        <x:v>1135</x:v>
      </x:c>
    </x:row>
    <x:row r="815" ht="72" hidden="0" customHeight="1">
      <x:c r="B815" s="31" t="s">
        <x:v>298</x:v>
      </x:c>
      <x:c r="C815" s="31" t="s">
        <x:v>499</x:v>
      </x:c>
      <x:c r="D815" s="31" t="s">
        <x:v>1136</x:v>
      </x:c>
    </x:row>
    <x:row r="816" ht="43.5" hidden="0" customHeight="1">
      <x:c r="B816" s="32" t="s">
        <x:v>298</x:v>
      </x:c>
      <x:c r="C816" s="32" t="s">
        <x:v>501</x:v>
      </x:c>
      <x:c r="D816" s="32" t="s">
        <x:v>1120</x:v>
      </x:c>
    </x:row>
    <x:row r="817" ht="129" hidden="0" customHeight="1">
      <x:c r="B817" s="31" t="s">
        <x:v>298</x:v>
      </x:c>
      <x:c r="C817" s="31" t="s">
        <x:v>503</x:v>
      </x:c>
      <x:c r="D817" s="31" t="s">
        <x:v>1137</x:v>
      </x:c>
    </x:row>
    <x:row r="818" ht="72" hidden="0" customHeight="1">
      <x:c r="B818" s="32" t="s">
        <x:v>298</x:v>
      </x:c>
      <x:c r="C818" s="32" t="s">
        <x:v>505</x:v>
      </x:c>
      <x:c r="D818" s="32" t="s">
        <x:v>1138</x:v>
      </x:c>
    </x:row>
    <x:row r="819" ht="72" hidden="0" customHeight="1">
      <x:c r="B819" s="32" t="s">
        <x:v>298</x:v>
      </x:c>
      <x:c r="C819" s="32" t="s">
        <x:v>507</x:v>
      </x:c>
      <x:c r="D819" s="32" t="s">
        <x:v>1139</x:v>
      </x:c>
    </x:row>
    <x:row r="820" ht="43.5" hidden="0" customHeight="1">
      <x:c r="B820" s="31" t="s">
        <x:v>298</x:v>
      </x:c>
      <x:c r="C820" s="31" t="s">
        <x:v>509</x:v>
      </x:c>
      <x:c r="D820" s="31" t="s">
        <x:v>711</x:v>
      </x:c>
    </x:row>
    <x:row r="821" ht="34.5" hidden="0" customHeight="1">
      <x:c r="B821" s="30" t="s">
        <x:v>300</x:v>
      </x:c>
      <x:c r="C821" s="30" t="s">
        <x:v>497</x:v>
      </x:c>
      <x:c r="D821" s="30" t="s">
        <x:v>301</x:v>
      </x:c>
    </x:row>
    <x:row r="822" ht="114.75" hidden="0" customHeight="1">
      <x:c r="B822" s="31" t="s">
        <x:v>300</x:v>
      </x:c>
      <x:c r="C822" s="31" t="s">
        <x:v>499</x:v>
      </x:c>
      <x:c r="D822" s="31" t="s">
        <x:v>1140</x:v>
      </x:c>
    </x:row>
    <x:row r="823" ht="57.75" hidden="0" customHeight="1">
      <x:c r="B823" s="32" t="s">
        <x:v>300</x:v>
      </x:c>
      <x:c r="C823" s="32" t="s">
        <x:v>501</x:v>
      </x:c>
      <x:c r="D823" s="32" t="s">
        <x:v>1141</x:v>
      </x:c>
    </x:row>
    <x:row r="824" ht="157.5" hidden="0" customHeight="1">
      <x:c r="B824" s="31" t="s">
        <x:v>300</x:v>
      </x:c>
      <x:c r="C824" s="31" t="s">
        <x:v>503</x:v>
      </x:c>
      <x:c r="D824" s="31" t="s">
        <x:v>1142</x:v>
      </x:c>
    </x:row>
    <x:row r="825" ht="100.5" hidden="0" customHeight="1">
      <x:c r="B825" s="32" t="s">
        <x:v>300</x:v>
      </x:c>
      <x:c r="C825" s="32" t="s">
        <x:v>505</x:v>
      </x:c>
      <x:c r="D825" s="32" t="s">
        <x:v>1143</x:v>
      </x:c>
    </x:row>
    <x:row r="826" ht="100.5" hidden="0" customHeight="1">
      <x:c r="B826" s="32" t="s">
        <x:v>300</x:v>
      </x:c>
      <x:c r="C826" s="32" t="s">
        <x:v>507</x:v>
      </x:c>
      <x:c r="D826" s="32" t="s">
        <x:v>1144</x:v>
      </x:c>
    </x:row>
    <x:row r="827" ht="43.5" hidden="0" customHeight="1">
      <x:c r="B827" s="31" t="s">
        <x:v>300</x:v>
      </x:c>
      <x:c r="C827" s="31" t="s">
        <x:v>509</x:v>
      </x:c>
      <x:c r="D827" s="31" t="s">
        <x:v>626</x:v>
      </x:c>
    </x:row>
    <x:row r="828" ht="43.5" hidden="0" customHeight="1">
      <x:c r="B828" s="30" t="s">
        <x:v>302</x:v>
      </x:c>
      <x:c r="C828" s="30" t="s">
        <x:v>497</x:v>
      </x:c>
      <x:c r="D828" s="30" t="s">
        <x:v>1145</x:v>
      </x:c>
    </x:row>
    <x:row r="829" ht="100.5" hidden="0" customHeight="1">
      <x:c r="B829" s="31" t="s">
        <x:v>302</x:v>
      </x:c>
      <x:c r="C829" s="31" t="s">
        <x:v>499</x:v>
      </x:c>
      <x:c r="D829" s="31" t="s">
        <x:v>1146</x:v>
      </x:c>
    </x:row>
    <x:row r="830" ht="57.75" hidden="0" customHeight="1">
      <x:c r="B830" s="32" t="s">
        <x:v>302</x:v>
      </x:c>
      <x:c r="C830" s="32" t="s">
        <x:v>501</x:v>
      </x:c>
      <x:c r="D830" s="32" t="s">
        <x:v>1141</x:v>
      </x:c>
    </x:row>
    <x:row r="831" ht="171.75" hidden="0" customHeight="1">
      <x:c r="B831" s="31" t="s">
        <x:v>302</x:v>
      </x:c>
      <x:c r="C831" s="31" t="s">
        <x:v>503</x:v>
      </x:c>
      <x:c r="D831" s="31" t="s">
        <x:v>1147</x:v>
      </x:c>
    </x:row>
    <x:row r="832" ht="143.25" hidden="0" customHeight="1">
      <x:c r="B832" s="32" t="s">
        <x:v>302</x:v>
      </x:c>
      <x:c r="C832" s="32" t="s">
        <x:v>505</x:v>
      </x:c>
      <x:c r="D832" s="32" t="s">
        <x:v>1148</x:v>
      </x:c>
    </x:row>
    <x:row r="833" ht="143.25" hidden="0" customHeight="1">
      <x:c r="B833" s="32" t="s">
        <x:v>302</x:v>
      </x:c>
      <x:c r="C833" s="32" t="s">
        <x:v>507</x:v>
      </x:c>
      <x:c r="D833" s="32" t="s">
        <x:v>1149</x:v>
      </x:c>
    </x:row>
    <x:row r="834" ht="90" hidden="0" customHeight="1">
      <x:c r="B834" s="32" t="s">
        <x:v>302</x:v>
      </x:c>
      <x:c r="C834" s="32" t="s">
        <x:v>517</x:v>
      </x:c>
      <x:c r="D834" s="32" t="s">
        <x:v>1150</x:v>
      </x:c>
    </x:row>
    <x:row r="835" ht="57.75" hidden="0" customHeight="1">
      <x:c r="B835" s="31" t="s">
        <x:v>302</x:v>
      </x:c>
      <x:c r="C835" s="31" t="s">
        <x:v>509</x:v>
      </x:c>
      <x:c r="D835" s="31" t="s">
        <x:v>633</x:v>
      </x:c>
    </x:row>
    <x:row r="836" ht="43.5" hidden="0" customHeight="1">
      <x:c r="B836" s="30" t="s">
        <x:v>304</x:v>
      </x:c>
      <x:c r="C836" s="30" t="s">
        <x:v>497</x:v>
      </x:c>
      <x:c r="D836" s="30" t="s">
        <x:v>1151</x:v>
      </x:c>
    </x:row>
    <x:row r="837" ht="114.75" hidden="0" customHeight="1">
      <x:c r="B837" s="31" t="s">
        <x:v>304</x:v>
      </x:c>
      <x:c r="C837" s="31" t="s">
        <x:v>499</x:v>
      </x:c>
      <x:c r="D837" s="31" t="s">
        <x:v>1152</x:v>
      </x:c>
    </x:row>
    <x:row r="838" ht="57.75" hidden="0" customHeight="1">
      <x:c r="B838" s="32" t="s">
        <x:v>304</x:v>
      </x:c>
      <x:c r="C838" s="32" t="s">
        <x:v>501</x:v>
      </x:c>
      <x:c r="D838" s="32" t="s">
        <x:v>1141</x:v>
      </x:c>
    </x:row>
    <x:row r="839" ht="186" hidden="0" customHeight="1">
      <x:c r="B839" s="31" t="s">
        <x:v>304</x:v>
      </x:c>
      <x:c r="C839" s="31" t="s">
        <x:v>503</x:v>
      </x:c>
      <x:c r="D839" s="31" t="s">
        <x:v>1153</x:v>
      </x:c>
    </x:row>
    <x:row r="840" ht="129" hidden="0" customHeight="1">
      <x:c r="B840" s="32" t="s">
        <x:v>304</x:v>
      </x:c>
      <x:c r="C840" s="32" t="s">
        <x:v>505</x:v>
      </x:c>
      <x:c r="D840" s="32" t="s">
        <x:v>1154</x:v>
      </x:c>
    </x:row>
    <x:row r="841" ht="129" hidden="0" customHeight="1">
      <x:c r="B841" s="32" t="s">
        <x:v>304</x:v>
      </x:c>
      <x:c r="C841" s="32" t="s">
        <x:v>507</x:v>
      </x:c>
      <x:c r="D841" s="32" t="s">
        <x:v>1155</x:v>
      </x:c>
    </x:row>
    <x:row r="842" ht="43.5" hidden="0" customHeight="1">
      <x:c r="B842" s="31" t="s">
        <x:v>304</x:v>
      </x:c>
      <x:c r="C842" s="31" t="s">
        <x:v>509</x:v>
      </x:c>
      <x:c r="D842" s="31" t="s">
        <x:v>639</x:v>
      </x:c>
    </x:row>
    <x:row r="843" ht="34.5" hidden="0" customHeight="1">
      <x:c r="B843" s="30" t="s">
        <x:v>306</x:v>
      </x:c>
      <x:c r="C843" s="30" t="s">
        <x:v>497</x:v>
      </x:c>
      <x:c r="D843" s="30" t="s">
        <x:v>1156</x:v>
      </x:c>
    </x:row>
    <x:row r="844" ht="57.75" hidden="0" customHeight="1">
      <x:c r="B844" s="31" t="s">
        <x:v>306</x:v>
      </x:c>
      <x:c r="C844" s="31" t="s">
        <x:v>499</x:v>
      </x:c>
      <x:c r="D844" s="31" t="s">
        <x:v>1157</x:v>
      </x:c>
    </x:row>
    <x:row r="845" ht="57.75" hidden="0" customHeight="1">
      <x:c r="B845" s="32" t="s">
        <x:v>306</x:v>
      </x:c>
      <x:c r="C845" s="32" t="s">
        <x:v>501</x:v>
      </x:c>
      <x:c r="D845" s="32" t="s">
        <x:v>1141</x:v>
      </x:c>
    </x:row>
    <x:row r="846" ht="129" hidden="0" customHeight="1">
      <x:c r="B846" s="31" t="s">
        <x:v>306</x:v>
      </x:c>
      <x:c r="C846" s="31" t="s">
        <x:v>503</x:v>
      </x:c>
      <x:c r="D846" s="31" t="s">
        <x:v>1158</x:v>
      </x:c>
    </x:row>
    <x:row r="847" ht="72" hidden="0" customHeight="1">
      <x:c r="B847" s="32" t="s">
        <x:v>306</x:v>
      </x:c>
      <x:c r="C847" s="32" t="s">
        <x:v>505</x:v>
      </x:c>
      <x:c r="D847" s="32" t="s">
        <x:v>1159</x:v>
      </x:c>
    </x:row>
    <x:row r="848" ht="72" hidden="0" customHeight="1">
      <x:c r="B848" s="32" t="s">
        <x:v>306</x:v>
      </x:c>
      <x:c r="C848" s="32" t="s">
        <x:v>507</x:v>
      </x:c>
      <x:c r="D848" s="32" t="s">
        <x:v>1160</x:v>
      </x:c>
    </x:row>
    <x:row r="849" ht="43.5" hidden="0" customHeight="1">
      <x:c r="B849" s="31" t="s">
        <x:v>306</x:v>
      </x:c>
      <x:c r="C849" s="31" t="s">
        <x:v>509</x:v>
      </x:c>
      <x:c r="D849" s="31" t="s">
        <x:v>644</x:v>
      </x:c>
    </x:row>
    <x:row r="850" ht="34.5" hidden="0" customHeight="1">
      <x:c r="B850" s="30" t="s">
        <x:v>308</x:v>
      </x:c>
      <x:c r="C850" s="30" t="s">
        <x:v>497</x:v>
      </x:c>
      <x:c r="D850" s="30" t="s">
        <x:v>309</x:v>
      </x:c>
    </x:row>
    <x:row r="851" ht="114.75" hidden="0" customHeight="1">
      <x:c r="B851" s="31" t="s">
        <x:v>308</x:v>
      </x:c>
      <x:c r="C851" s="31" t="s">
        <x:v>499</x:v>
      </x:c>
      <x:c r="D851" s="31" t="s">
        <x:v>1161</x:v>
      </x:c>
    </x:row>
    <x:row r="852" ht="43.5" hidden="0" customHeight="1">
      <x:c r="B852" s="32" t="s">
        <x:v>308</x:v>
      </x:c>
      <x:c r="C852" s="32" t="s">
        <x:v>501</x:v>
      </x:c>
      <x:c r="D852" s="32" t="s">
        <x:v>1162</x:v>
      </x:c>
    </x:row>
    <x:row r="853" ht="157.5" hidden="0" customHeight="1">
      <x:c r="B853" s="31" t="s">
        <x:v>308</x:v>
      </x:c>
      <x:c r="C853" s="31" t="s">
        <x:v>503</x:v>
      </x:c>
      <x:c r="D853" s="31" t="s">
        <x:v>1163</x:v>
      </x:c>
    </x:row>
    <x:row r="854" ht="114.75" hidden="0" customHeight="1">
      <x:c r="B854" s="32" t="s">
        <x:v>308</x:v>
      </x:c>
      <x:c r="C854" s="32" t="s">
        <x:v>505</x:v>
      </x:c>
      <x:c r="D854" s="32" t="s">
        <x:v>1164</x:v>
      </x:c>
    </x:row>
    <x:row r="855" ht="114.75" hidden="0" customHeight="1">
      <x:c r="B855" s="32" t="s">
        <x:v>308</x:v>
      </x:c>
      <x:c r="C855" s="32" t="s">
        <x:v>507</x:v>
      </x:c>
      <x:c r="D855" s="32" t="s">
        <x:v>1165</x:v>
      </x:c>
    </x:row>
    <x:row r="856" ht="43.5" hidden="0" customHeight="1">
      <x:c r="B856" s="31" t="s">
        <x:v>308</x:v>
      </x:c>
      <x:c r="C856" s="31" t="s">
        <x:v>509</x:v>
      </x:c>
      <x:c r="D856" s="31" t="s">
        <x:v>626</x:v>
      </x:c>
    </x:row>
    <x:row r="857" ht="43.5" hidden="0" customHeight="1">
      <x:c r="B857" s="30" t="s">
        <x:v>310</x:v>
      </x:c>
      <x:c r="C857" s="30" t="s">
        <x:v>497</x:v>
      </x:c>
      <x:c r="D857" s="30" t="s">
        <x:v>1166</x:v>
      </x:c>
    </x:row>
    <x:row r="858" ht="100.5" hidden="0" customHeight="1">
      <x:c r="B858" s="31" t="s">
        <x:v>310</x:v>
      </x:c>
      <x:c r="C858" s="31" t="s">
        <x:v>499</x:v>
      </x:c>
      <x:c r="D858" s="31" t="s">
        <x:v>1167</x:v>
      </x:c>
    </x:row>
    <x:row r="859" ht="43.5" hidden="0" customHeight="1">
      <x:c r="B859" s="32" t="s">
        <x:v>310</x:v>
      </x:c>
      <x:c r="C859" s="32" t="s">
        <x:v>501</x:v>
      </x:c>
      <x:c r="D859" s="32" t="s">
        <x:v>1162</x:v>
      </x:c>
    </x:row>
    <x:row r="860" ht="171.75" hidden="0" customHeight="1">
      <x:c r="B860" s="31" t="s">
        <x:v>310</x:v>
      </x:c>
      <x:c r="C860" s="31" t="s">
        <x:v>503</x:v>
      </x:c>
      <x:c r="D860" s="31" t="s">
        <x:v>1168</x:v>
      </x:c>
    </x:row>
    <x:row r="861" ht="143.25" hidden="0" customHeight="1">
      <x:c r="B861" s="32" t="s">
        <x:v>310</x:v>
      </x:c>
      <x:c r="C861" s="32" t="s">
        <x:v>505</x:v>
      </x:c>
      <x:c r="D861" s="32" t="s">
        <x:v>1169</x:v>
      </x:c>
    </x:row>
    <x:row r="862" ht="143.25" hidden="0" customHeight="1">
      <x:c r="B862" s="32" t="s">
        <x:v>310</x:v>
      </x:c>
      <x:c r="C862" s="32" t="s">
        <x:v>507</x:v>
      </x:c>
      <x:c r="D862" s="32" t="s">
        <x:v>1170</x:v>
      </x:c>
    </x:row>
    <x:row r="863" ht="90" hidden="0" customHeight="1">
      <x:c r="B863" s="32" t="s">
        <x:v>310</x:v>
      </x:c>
      <x:c r="C863" s="32" t="s">
        <x:v>517</x:v>
      </x:c>
      <x:c r="D863" s="32" t="s">
        <x:v>1171</x:v>
      </x:c>
    </x:row>
    <x:row r="864" ht="57.75" hidden="0" customHeight="1">
      <x:c r="B864" s="31" t="s">
        <x:v>310</x:v>
      </x:c>
      <x:c r="C864" s="31" t="s">
        <x:v>509</x:v>
      </x:c>
      <x:c r="D864" s="31" t="s">
        <x:v>633</x:v>
      </x:c>
    </x:row>
    <x:row r="865" ht="43.5" hidden="0" customHeight="1">
      <x:c r="B865" s="30" t="s">
        <x:v>312</x:v>
      </x:c>
      <x:c r="C865" s="30" t="s">
        <x:v>497</x:v>
      </x:c>
      <x:c r="D865" s="30" t="s">
        <x:v>1172</x:v>
      </x:c>
    </x:row>
    <x:row r="866" ht="114.75" hidden="0" customHeight="1">
      <x:c r="B866" s="31" t="s">
        <x:v>312</x:v>
      </x:c>
      <x:c r="C866" s="31" t="s">
        <x:v>499</x:v>
      </x:c>
      <x:c r="D866" s="31" t="s">
        <x:v>1173</x:v>
      </x:c>
    </x:row>
    <x:row r="867" ht="43.5" hidden="0" customHeight="1">
      <x:c r="B867" s="32" t="s">
        <x:v>312</x:v>
      </x:c>
      <x:c r="C867" s="32" t="s">
        <x:v>501</x:v>
      </x:c>
      <x:c r="D867" s="32" t="s">
        <x:v>1162</x:v>
      </x:c>
    </x:row>
    <x:row r="868" ht="186" hidden="0" customHeight="1">
      <x:c r="B868" s="31" t="s">
        <x:v>312</x:v>
      </x:c>
      <x:c r="C868" s="31" t="s">
        <x:v>503</x:v>
      </x:c>
      <x:c r="D868" s="31" t="s">
        <x:v>1174</x:v>
      </x:c>
    </x:row>
    <x:row r="869" ht="129" hidden="0" customHeight="1">
      <x:c r="B869" s="32" t="s">
        <x:v>312</x:v>
      </x:c>
      <x:c r="C869" s="32" t="s">
        <x:v>505</x:v>
      </x:c>
      <x:c r="D869" s="32" t="s">
        <x:v>1175</x:v>
      </x:c>
    </x:row>
    <x:row r="870" ht="129" hidden="0" customHeight="1">
      <x:c r="B870" s="32" t="s">
        <x:v>312</x:v>
      </x:c>
      <x:c r="C870" s="32" t="s">
        <x:v>507</x:v>
      </x:c>
      <x:c r="D870" s="32" t="s">
        <x:v>1176</x:v>
      </x:c>
    </x:row>
    <x:row r="871" ht="43.5" hidden="0" customHeight="1">
      <x:c r="B871" s="31" t="s">
        <x:v>312</x:v>
      </x:c>
      <x:c r="C871" s="31" t="s">
        <x:v>509</x:v>
      </x:c>
      <x:c r="D871" s="31" t="s">
        <x:v>639</x:v>
      </x:c>
    </x:row>
    <x:row r="872" ht="34.5" hidden="0" customHeight="1">
      <x:c r="B872" s="30" t="s">
        <x:v>314</x:v>
      </x:c>
      <x:c r="C872" s="30" t="s">
        <x:v>497</x:v>
      </x:c>
      <x:c r="D872" s="30" t="s">
        <x:v>1177</x:v>
      </x:c>
    </x:row>
    <x:row r="873" ht="57.75" hidden="0" customHeight="1">
      <x:c r="B873" s="31" t="s">
        <x:v>314</x:v>
      </x:c>
      <x:c r="C873" s="31" t="s">
        <x:v>499</x:v>
      </x:c>
      <x:c r="D873" s="31" t="s">
        <x:v>1178</x:v>
      </x:c>
    </x:row>
    <x:row r="874" ht="43.5" hidden="0" customHeight="1">
      <x:c r="B874" s="32" t="s">
        <x:v>314</x:v>
      </x:c>
      <x:c r="C874" s="32" t="s">
        <x:v>501</x:v>
      </x:c>
      <x:c r="D874" s="32" t="s">
        <x:v>1162</x:v>
      </x:c>
    </x:row>
    <x:row r="875" ht="129" hidden="0" customHeight="1">
      <x:c r="B875" s="31" t="s">
        <x:v>314</x:v>
      </x:c>
      <x:c r="C875" s="31" t="s">
        <x:v>503</x:v>
      </x:c>
      <x:c r="D875" s="31" t="s">
        <x:v>1179</x:v>
      </x:c>
    </x:row>
    <x:row r="876" ht="72" hidden="0" customHeight="1">
      <x:c r="B876" s="32" t="s">
        <x:v>314</x:v>
      </x:c>
      <x:c r="C876" s="32" t="s">
        <x:v>505</x:v>
      </x:c>
      <x:c r="D876" s="32" t="s">
        <x:v>1180</x:v>
      </x:c>
    </x:row>
    <x:row r="877" ht="72" hidden="0" customHeight="1">
      <x:c r="B877" s="32" t="s">
        <x:v>314</x:v>
      </x:c>
      <x:c r="C877" s="32" t="s">
        <x:v>507</x:v>
      </x:c>
      <x:c r="D877" s="32" t="s">
        <x:v>1181</x:v>
      </x:c>
    </x:row>
    <x:row r="878" ht="43.5" hidden="0" customHeight="1">
      <x:c r="B878" s="31" t="s">
        <x:v>314</x:v>
      </x:c>
      <x:c r="C878" s="31" t="s">
        <x:v>509</x:v>
      </x:c>
      <x:c r="D878" s="31" t="s">
        <x:v>644</x:v>
      </x:c>
    </x:row>
    <x:row r="879" ht="34.5" hidden="0" customHeight="1">
      <x:c r="B879" s="30" t="s">
        <x:v>316</x:v>
      </x:c>
      <x:c r="C879" s="30" t="s">
        <x:v>497</x:v>
      </x:c>
      <x:c r="D879" s="30" t="s">
        <x:v>317</x:v>
      </x:c>
    </x:row>
    <x:row r="880" ht="114.75" hidden="0" customHeight="1">
      <x:c r="B880" s="31" t="s">
        <x:v>316</x:v>
      </x:c>
      <x:c r="C880" s="31" t="s">
        <x:v>499</x:v>
      </x:c>
      <x:c r="D880" s="31" t="s">
        <x:v>1182</x:v>
      </x:c>
    </x:row>
    <x:row r="881" ht="43.5" hidden="0" customHeight="1">
      <x:c r="B881" s="32" t="s">
        <x:v>316</x:v>
      </x:c>
      <x:c r="C881" s="32" t="s">
        <x:v>501</x:v>
      </x:c>
      <x:c r="D881" s="32" t="s">
        <x:v>1183</x:v>
      </x:c>
    </x:row>
    <x:row r="882" ht="157.5" hidden="0" customHeight="1">
      <x:c r="B882" s="31" t="s">
        <x:v>316</x:v>
      </x:c>
      <x:c r="C882" s="31" t="s">
        <x:v>503</x:v>
      </x:c>
      <x:c r="D882" s="31" t="s">
        <x:v>1184</x:v>
      </x:c>
    </x:row>
    <x:row r="883" ht="114.75" hidden="0" customHeight="1">
      <x:c r="B883" s="32" t="s">
        <x:v>316</x:v>
      </x:c>
      <x:c r="C883" s="32" t="s">
        <x:v>505</x:v>
      </x:c>
      <x:c r="D883" s="32" t="s">
        <x:v>1185</x:v>
      </x:c>
    </x:row>
    <x:row r="884" ht="114.75" hidden="0" customHeight="1">
      <x:c r="B884" s="32" t="s">
        <x:v>316</x:v>
      </x:c>
      <x:c r="C884" s="32" t="s">
        <x:v>507</x:v>
      </x:c>
      <x:c r="D884" s="32" t="s">
        <x:v>1186</x:v>
      </x:c>
    </x:row>
    <x:row r="885" ht="43.5" hidden="0" customHeight="1">
      <x:c r="B885" s="31" t="s">
        <x:v>316</x:v>
      </x:c>
      <x:c r="C885" s="31" t="s">
        <x:v>509</x:v>
      </x:c>
      <x:c r="D885" s="31" t="s">
        <x:v>626</x:v>
      </x:c>
    </x:row>
    <x:row r="886" ht="43.5" hidden="0" customHeight="1">
      <x:c r="B886" s="30" t="s">
        <x:v>318</x:v>
      </x:c>
      <x:c r="C886" s="30" t="s">
        <x:v>497</x:v>
      </x:c>
      <x:c r="D886" s="30" t="s">
        <x:v>1187</x:v>
      </x:c>
    </x:row>
    <x:row r="887" ht="100.5" hidden="0" customHeight="1">
      <x:c r="B887" s="31" t="s">
        <x:v>318</x:v>
      </x:c>
      <x:c r="C887" s="31" t="s">
        <x:v>499</x:v>
      </x:c>
      <x:c r="D887" s="31" t="s">
        <x:v>1188</x:v>
      </x:c>
    </x:row>
    <x:row r="888" ht="43.5" hidden="0" customHeight="1">
      <x:c r="B888" s="32" t="s">
        <x:v>318</x:v>
      </x:c>
      <x:c r="C888" s="32" t="s">
        <x:v>501</x:v>
      </x:c>
      <x:c r="D888" s="32" t="s">
        <x:v>1183</x:v>
      </x:c>
    </x:row>
    <x:row r="889" ht="171.75" hidden="0" customHeight="1">
      <x:c r="B889" s="31" t="s">
        <x:v>318</x:v>
      </x:c>
      <x:c r="C889" s="31" t="s">
        <x:v>503</x:v>
      </x:c>
      <x:c r="D889" s="31" t="s">
        <x:v>1189</x:v>
      </x:c>
    </x:row>
    <x:row r="890" ht="143.25" hidden="0" customHeight="1">
      <x:c r="B890" s="32" t="s">
        <x:v>318</x:v>
      </x:c>
      <x:c r="C890" s="32" t="s">
        <x:v>505</x:v>
      </x:c>
      <x:c r="D890" s="32" t="s">
        <x:v>1190</x:v>
      </x:c>
    </x:row>
    <x:row r="891" ht="143.25" hidden="0" customHeight="1">
      <x:c r="B891" s="32" t="s">
        <x:v>318</x:v>
      </x:c>
      <x:c r="C891" s="32" t="s">
        <x:v>507</x:v>
      </x:c>
      <x:c r="D891" s="32" t="s">
        <x:v>1191</x:v>
      </x:c>
    </x:row>
    <x:row r="892" ht="90" hidden="0" customHeight="1">
      <x:c r="B892" s="32" t="s">
        <x:v>318</x:v>
      </x:c>
      <x:c r="C892" s="32" t="s">
        <x:v>517</x:v>
      </x:c>
      <x:c r="D892" s="32" t="s">
        <x:v>1192</x:v>
      </x:c>
    </x:row>
    <x:row r="893" ht="57.75" hidden="0" customHeight="1">
      <x:c r="B893" s="31" t="s">
        <x:v>318</x:v>
      </x:c>
      <x:c r="C893" s="31" t="s">
        <x:v>509</x:v>
      </x:c>
      <x:c r="D893" s="31" t="s">
        <x:v>633</x:v>
      </x:c>
    </x:row>
    <x:row r="894" ht="43.5" hidden="0" customHeight="1">
      <x:c r="B894" s="30" t="s">
        <x:v>320</x:v>
      </x:c>
      <x:c r="C894" s="30" t="s">
        <x:v>497</x:v>
      </x:c>
      <x:c r="D894" s="30" t="s">
        <x:v>1193</x:v>
      </x:c>
    </x:row>
    <x:row r="895" ht="114.75" hidden="0" customHeight="1">
      <x:c r="B895" s="31" t="s">
        <x:v>320</x:v>
      </x:c>
      <x:c r="C895" s="31" t="s">
        <x:v>499</x:v>
      </x:c>
      <x:c r="D895" s="31" t="s">
        <x:v>1194</x:v>
      </x:c>
    </x:row>
    <x:row r="896" ht="43.5" hidden="0" customHeight="1">
      <x:c r="B896" s="32" t="s">
        <x:v>320</x:v>
      </x:c>
      <x:c r="C896" s="32" t="s">
        <x:v>501</x:v>
      </x:c>
      <x:c r="D896" s="32" t="s">
        <x:v>1183</x:v>
      </x:c>
    </x:row>
    <x:row r="897" ht="186" hidden="0" customHeight="1">
      <x:c r="B897" s="31" t="s">
        <x:v>320</x:v>
      </x:c>
      <x:c r="C897" s="31" t="s">
        <x:v>503</x:v>
      </x:c>
      <x:c r="D897" s="31" t="s">
        <x:v>1195</x:v>
      </x:c>
    </x:row>
    <x:row r="898" ht="129" hidden="0" customHeight="1">
      <x:c r="B898" s="32" t="s">
        <x:v>320</x:v>
      </x:c>
      <x:c r="C898" s="32" t="s">
        <x:v>505</x:v>
      </x:c>
      <x:c r="D898" s="32" t="s">
        <x:v>1196</x:v>
      </x:c>
    </x:row>
    <x:row r="899" ht="129" hidden="0" customHeight="1">
      <x:c r="B899" s="32" t="s">
        <x:v>320</x:v>
      </x:c>
      <x:c r="C899" s="32" t="s">
        <x:v>507</x:v>
      </x:c>
      <x:c r="D899" s="32" t="s">
        <x:v>1197</x:v>
      </x:c>
    </x:row>
    <x:row r="900" ht="43.5" hidden="0" customHeight="1">
      <x:c r="B900" s="31" t="s">
        <x:v>320</x:v>
      </x:c>
      <x:c r="C900" s="31" t="s">
        <x:v>509</x:v>
      </x:c>
      <x:c r="D900" s="31" t="s">
        <x:v>639</x:v>
      </x:c>
    </x:row>
    <x:row r="901" ht="34.5" hidden="0" customHeight="1">
      <x:c r="B901" s="30" t="s">
        <x:v>322</x:v>
      </x:c>
      <x:c r="C901" s="30" t="s">
        <x:v>497</x:v>
      </x:c>
      <x:c r="D901" s="30" t="s">
        <x:v>1198</x:v>
      </x:c>
    </x:row>
    <x:row r="902" ht="57.75" hidden="0" customHeight="1">
      <x:c r="B902" s="31" t="s">
        <x:v>322</x:v>
      </x:c>
      <x:c r="C902" s="31" t="s">
        <x:v>499</x:v>
      </x:c>
      <x:c r="D902" s="31" t="s">
        <x:v>1199</x:v>
      </x:c>
    </x:row>
    <x:row r="903" ht="43.5" hidden="0" customHeight="1">
      <x:c r="B903" s="32" t="s">
        <x:v>322</x:v>
      </x:c>
      <x:c r="C903" s="32" t="s">
        <x:v>501</x:v>
      </x:c>
      <x:c r="D903" s="32" t="s">
        <x:v>1183</x:v>
      </x:c>
    </x:row>
    <x:row r="904" ht="129" hidden="0" customHeight="1">
      <x:c r="B904" s="31" t="s">
        <x:v>322</x:v>
      </x:c>
      <x:c r="C904" s="31" t="s">
        <x:v>503</x:v>
      </x:c>
      <x:c r="D904" s="31" t="s">
        <x:v>1200</x:v>
      </x:c>
    </x:row>
    <x:row r="905" ht="72" hidden="0" customHeight="1">
      <x:c r="B905" s="32" t="s">
        <x:v>322</x:v>
      </x:c>
      <x:c r="C905" s="32" t="s">
        <x:v>505</x:v>
      </x:c>
      <x:c r="D905" s="32" t="s">
        <x:v>1201</x:v>
      </x:c>
    </x:row>
    <x:row r="906" ht="72" hidden="0" customHeight="1">
      <x:c r="B906" s="32" t="s">
        <x:v>322</x:v>
      </x:c>
      <x:c r="C906" s="32" t="s">
        <x:v>507</x:v>
      </x:c>
      <x:c r="D906" s="32" t="s">
        <x:v>1202</x:v>
      </x:c>
    </x:row>
    <x:row r="907" ht="43.5" hidden="0" customHeight="1">
      <x:c r="B907" s="31" t="s">
        <x:v>322</x:v>
      </x:c>
      <x:c r="C907" s="31" t="s">
        <x:v>509</x:v>
      </x:c>
      <x:c r="D907" s="31" t="s">
        <x:v>644</x:v>
      </x:c>
    </x:row>
    <x:row r="908" ht="34.5" hidden="0" customHeight="1">
      <x:c r="B908" s="30" t="s">
        <x:v>324</x:v>
      </x:c>
      <x:c r="C908" s="30" t="s">
        <x:v>497</x:v>
      </x:c>
      <x:c r="D908" s="30" t="s">
        <x:v>1203</x:v>
      </x:c>
    </x:row>
    <x:row r="909" ht="129" hidden="0" customHeight="1">
      <x:c r="B909" s="31" t="s">
        <x:v>324</x:v>
      </x:c>
      <x:c r="C909" s="31" t="s">
        <x:v>499</x:v>
      </x:c>
      <x:c r="D909" s="31" t="s">
        <x:v>1204</x:v>
      </x:c>
    </x:row>
    <x:row r="910" ht="43.5" hidden="0" customHeight="1">
      <x:c r="B910" s="32" t="s">
        <x:v>324</x:v>
      </x:c>
      <x:c r="C910" s="32" t="s">
        <x:v>501</x:v>
      </x:c>
      <x:c r="D910" s="32" t="s">
        <x:v>1205</x:v>
      </x:c>
    </x:row>
    <x:row r="911" ht="171.75" hidden="0" customHeight="1">
      <x:c r="B911" s="31" t="s">
        <x:v>324</x:v>
      </x:c>
      <x:c r="C911" s="31" t="s">
        <x:v>503</x:v>
      </x:c>
      <x:c r="D911" s="31" t="s">
        <x:v>1206</x:v>
      </x:c>
    </x:row>
    <x:row r="912" ht="100.5" hidden="0" customHeight="1">
      <x:c r="B912" s="32" t="s">
        <x:v>324</x:v>
      </x:c>
      <x:c r="C912" s="32" t="s">
        <x:v>505</x:v>
      </x:c>
      <x:c r="D912" s="32" t="s">
        <x:v>1207</x:v>
      </x:c>
    </x:row>
    <x:row r="913" ht="100.5" hidden="0" customHeight="1">
      <x:c r="B913" s="32" t="s">
        <x:v>324</x:v>
      </x:c>
      <x:c r="C913" s="32" t="s">
        <x:v>507</x:v>
      </x:c>
      <x:c r="D913" s="32" t="s">
        <x:v>1208</x:v>
      </x:c>
    </x:row>
    <x:row r="914" ht="43.5" hidden="0" customHeight="1">
      <x:c r="B914" s="31" t="s">
        <x:v>324</x:v>
      </x:c>
      <x:c r="C914" s="31" t="s">
        <x:v>509</x:v>
      </x:c>
      <x:c r="D914" s="31" t="s">
        <x:v>626</x:v>
      </x:c>
    </x:row>
    <x:row r="915" ht="43.5" hidden="0" customHeight="1">
      <x:c r="B915" s="30" t="s">
        <x:v>326</x:v>
      </x:c>
      <x:c r="C915" s="30" t="s">
        <x:v>497</x:v>
      </x:c>
      <x:c r="D915" s="30" t="s">
        <x:v>1209</x:v>
      </x:c>
    </x:row>
    <x:row r="916" ht="114.75" hidden="0" customHeight="1">
      <x:c r="B916" s="31" t="s">
        <x:v>326</x:v>
      </x:c>
      <x:c r="C916" s="31" t="s">
        <x:v>499</x:v>
      </x:c>
      <x:c r="D916" s="31" t="s">
        <x:v>1210</x:v>
      </x:c>
    </x:row>
    <x:row r="917" ht="43.5" hidden="0" customHeight="1">
      <x:c r="B917" s="32" t="s">
        <x:v>326</x:v>
      </x:c>
      <x:c r="C917" s="32" t="s">
        <x:v>501</x:v>
      </x:c>
      <x:c r="D917" s="32" t="s">
        <x:v>1205</x:v>
      </x:c>
    </x:row>
    <x:row r="918" ht="186" hidden="0" customHeight="1">
      <x:c r="B918" s="31" t="s">
        <x:v>326</x:v>
      </x:c>
      <x:c r="C918" s="31" t="s">
        <x:v>503</x:v>
      </x:c>
      <x:c r="D918" s="31" t="s">
        <x:v>1211</x:v>
      </x:c>
    </x:row>
    <x:row r="919" ht="157.5" hidden="0" customHeight="1">
      <x:c r="B919" s="32" t="s">
        <x:v>326</x:v>
      </x:c>
      <x:c r="C919" s="32" t="s">
        <x:v>505</x:v>
      </x:c>
      <x:c r="D919" s="32" t="s">
        <x:v>1212</x:v>
      </x:c>
    </x:row>
    <x:row r="920" ht="157.5" hidden="0" customHeight="1">
      <x:c r="B920" s="32" t="s">
        <x:v>326</x:v>
      </x:c>
      <x:c r="C920" s="32" t="s">
        <x:v>507</x:v>
      </x:c>
      <x:c r="D920" s="32" t="s">
        <x:v>1213</x:v>
      </x:c>
    </x:row>
    <x:row r="921" ht="90" hidden="0" customHeight="1">
      <x:c r="B921" s="32" t="s">
        <x:v>326</x:v>
      </x:c>
      <x:c r="C921" s="32" t="s">
        <x:v>517</x:v>
      </x:c>
      <x:c r="D921" s="32" t="s">
        <x:v>1214</x:v>
      </x:c>
    </x:row>
    <x:row r="922" ht="57.75" hidden="0" customHeight="1">
      <x:c r="B922" s="31" t="s">
        <x:v>326</x:v>
      </x:c>
      <x:c r="C922" s="31" t="s">
        <x:v>509</x:v>
      </x:c>
      <x:c r="D922" s="31" t="s">
        <x:v>633</x:v>
      </x:c>
    </x:row>
    <x:row r="923" ht="43.5" hidden="0" customHeight="1">
      <x:c r="B923" s="30" t="s">
        <x:v>328</x:v>
      </x:c>
      <x:c r="C923" s="30" t="s">
        <x:v>497</x:v>
      </x:c>
      <x:c r="D923" s="30" t="s">
        <x:v>1215</x:v>
      </x:c>
    </x:row>
    <x:row r="924" ht="114.75" hidden="0" customHeight="1">
      <x:c r="B924" s="31" t="s">
        <x:v>328</x:v>
      </x:c>
      <x:c r="C924" s="31" t="s">
        <x:v>499</x:v>
      </x:c>
      <x:c r="D924" s="31" t="s">
        <x:v>1216</x:v>
      </x:c>
    </x:row>
    <x:row r="925" ht="43.5" hidden="0" customHeight="1">
      <x:c r="B925" s="32" t="s">
        <x:v>328</x:v>
      </x:c>
      <x:c r="C925" s="32" t="s">
        <x:v>501</x:v>
      </x:c>
      <x:c r="D925" s="32" t="s">
        <x:v>1205</x:v>
      </x:c>
    </x:row>
    <x:row r="926" ht="186" hidden="0" customHeight="1">
      <x:c r="B926" s="31" t="s">
        <x:v>328</x:v>
      </x:c>
      <x:c r="C926" s="31" t="s">
        <x:v>503</x:v>
      </x:c>
      <x:c r="D926" s="31" t="s">
        <x:v>1217</x:v>
      </x:c>
    </x:row>
    <x:row r="927" ht="129" hidden="0" customHeight="1">
      <x:c r="B927" s="32" t="s">
        <x:v>328</x:v>
      </x:c>
      <x:c r="C927" s="32" t="s">
        <x:v>505</x:v>
      </x:c>
      <x:c r="D927" s="32" t="s">
        <x:v>1218</x:v>
      </x:c>
    </x:row>
    <x:row r="928" ht="129" hidden="0" customHeight="1">
      <x:c r="B928" s="32" t="s">
        <x:v>328</x:v>
      </x:c>
      <x:c r="C928" s="32" t="s">
        <x:v>507</x:v>
      </x:c>
      <x:c r="D928" s="32" t="s">
        <x:v>1219</x:v>
      </x:c>
    </x:row>
    <x:row r="929" ht="43.5" hidden="0" customHeight="1">
      <x:c r="B929" s="31" t="s">
        <x:v>328</x:v>
      </x:c>
      <x:c r="C929" s="31" t="s">
        <x:v>509</x:v>
      </x:c>
      <x:c r="D929" s="31" t="s">
        <x:v>639</x:v>
      </x:c>
    </x:row>
    <x:row r="930" ht="43.5" hidden="0" customHeight="1">
      <x:c r="B930" s="30" t="s">
        <x:v>330</x:v>
      </x:c>
      <x:c r="C930" s="30" t="s">
        <x:v>497</x:v>
      </x:c>
      <x:c r="D930" s="30" t="s">
        <x:v>1220</x:v>
      </x:c>
    </x:row>
    <x:row r="931" ht="72" hidden="0" customHeight="1">
      <x:c r="B931" s="31" t="s">
        <x:v>330</x:v>
      </x:c>
      <x:c r="C931" s="31" t="s">
        <x:v>499</x:v>
      </x:c>
      <x:c r="D931" s="31" t="s">
        <x:v>1221</x:v>
      </x:c>
    </x:row>
    <x:row r="932" ht="43.5" hidden="0" customHeight="1">
      <x:c r="B932" s="32" t="s">
        <x:v>330</x:v>
      </x:c>
      <x:c r="C932" s="32" t="s">
        <x:v>501</x:v>
      </x:c>
      <x:c r="D932" s="32" t="s">
        <x:v>1205</x:v>
      </x:c>
    </x:row>
    <x:row r="933" ht="129" hidden="0" customHeight="1">
      <x:c r="B933" s="31" t="s">
        <x:v>330</x:v>
      </x:c>
      <x:c r="C933" s="31" t="s">
        <x:v>503</x:v>
      </x:c>
      <x:c r="D933" s="31" t="s">
        <x:v>1222</x:v>
      </x:c>
    </x:row>
    <x:row r="934" ht="72" hidden="0" customHeight="1">
      <x:c r="B934" s="32" t="s">
        <x:v>330</x:v>
      </x:c>
      <x:c r="C934" s="32" t="s">
        <x:v>505</x:v>
      </x:c>
      <x:c r="D934" s="32" t="s">
        <x:v>1223</x:v>
      </x:c>
    </x:row>
    <x:row r="935" ht="72" hidden="0" customHeight="1">
      <x:c r="B935" s="32" t="s">
        <x:v>330</x:v>
      </x:c>
      <x:c r="C935" s="32" t="s">
        <x:v>507</x:v>
      </x:c>
      <x:c r="D935" s="32" t="s">
        <x:v>1224</x:v>
      </x:c>
    </x:row>
    <x:row r="936" ht="43.5" hidden="0" customHeight="1">
      <x:c r="B936" s="31" t="s">
        <x:v>330</x:v>
      </x:c>
      <x:c r="C936" s="31" t="s">
        <x:v>509</x:v>
      </x:c>
      <x:c r="D936" s="31" t="s">
        <x:v>711</x:v>
      </x:c>
    </x:row>
    <x:row r="937" ht="34.5" hidden="0" customHeight="1">
      <x:c r="B937" s="30" t="s">
        <x:v>332</x:v>
      </x:c>
      <x:c r="C937" s="30" t="s">
        <x:v>497</x:v>
      </x:c>
      <x:c r="D937" s="30" t="s">
        <x:v>1225</x:v>
      </x:c>
    </x:row>
    <x:row r="938" ht="129" hidden="0" customHeight="1">
      <x:c r="B938" s="31" t="s">
        <x:v>332</x:v>
      </x:c>
      <x:c r="C938" s="31" t="s">
        <x:v>499</x:v>
      </x:c>
      <x:c r="D938" s="31" t="s">
        <x:v>1226</x:v>
      </x:c>
    </x:row>
    <x:row r="939" ht="57.75" hidden="0" customHeight="1">
      <x:c r="B939" s="32" t="s">
        <x:v>332</x:v>
      </x:c>
      <x:c r="C939" s="32" t="s">
        <x:v>501</x:v>
      </x:c>
      <x:c r="D939" s="32" t="s">
        <x:v>1227</x:v>
      </x:c>
    </x:row>
    <x:row r="940" ht="171.75" hidden="0" customHeight="1">
      <x:c r="B940" s="31" t="s">
        <x:v>332</x:v>
      </x:c>
      <x:c r="C940" s="31" t="s">
        <x:v>503</x:v>
      </x:c>
      <x:c r="D940" s="31" t="s">
        <x:v>1228</x:v>
      </x:c>
    </x:row>
    <x:row r="941" ht="114.75" hidden="0" customHeight="1">
      <x:c r="B941" s="32" t="s">
        <x:v>332</x:v>
      </x:c>
      <x:c r="C941" s="32" t="s">
        <x:v>505</x:v>
      </x:c>
      <x:c r="D941" s="32" t="s">
        <x:v>1229</x:v>
      </x:c>
    </x:row>
    <x:row r="942" ht="114.75" hidden="0" customHeight="1">
      <x:c r="B942" s="32" t="s">
        <x:v>332</x:v>
      </x:c>
      <x:c r="C942" s="32" t="s">
        <x:v>507</x:v>
      </x:c>
      <x:c r="D942" s="32" t="s">
        <x:v>1230</x:v>
      </x:c>
    </x:row>
    <x:row r="943" ht="43.5" hidden="0" customHeight="1">
      <x:c r="B943" s="31" t="s">
        <x:v>332</x:v>
      </x:c>
      <x:c r="C943" s="31" t="s">
        <x:v>509</x:v>
      </x:c>
      <x:c r="D943" s="31" t="s">
        <x:v>626</x:v>
      </x:c>
    </x:row>
    <x:row r="944" ht="43.5" hidden="0" customHeight="1">
      <x:c r="B944" s="30" t="s">
        <x:v>334</x:v>
      </x:c>
      <x:c r="C944" s="30" t="s">
        <x:v>497</x:v>
      </x:c>
      <x:c r="D944" s="30" t="s">
        <x:v>1231</x:v>
      </x:c>
    </x:row>
    <x:row r="945" ht="114.75" hidden="0" customHeight="1">
      <x:c r="B945" s="31" t="s">
        <x:v>334</x:v>
      </x:c>
      <x:c r="C945" s="31" t="s">
        <x:v>499</x:v>
      </x:c>
      <x:c r="D945" s="31" t="s">
        <x:v>1232</x:v>
      </x:c>
    </x:row>
    <x:row r="946" ht="57.75" hidden="0" customHeight="1">
      <x:c r="B946" s="32" t="s">
        <x:v>334</x:v>
      </x:c>
      <x:c r="C946" s="32" t="s">
        <x:v>501</x:v>
      </x:c>
      <x:c r="D946" s="32" t="s">
        <x:v>1227</x:v>
      </x:c>
    </x:row>
    <x:row r="947" ht="186" hidden="0" customHeight="1">
      <x:c r="B947" s="31" t="s">
        <x:v>334</x:v>
      </x:c>
      <x:c r="C947" s="31" t="s">
        <x:v>503</x:v>
      </x:c>
      <x:c r="D947" s="31" t="s">
        <x:v>1233</x:v>
      </x:c>
    </x:row>
    <x:row r="948" ht="157.5" hidden="0" customHeight="1">
      <x:c r="B948" s="32" t="s">
        <x:v>334</x:v>
      </x:c>
      <x:c r="C948" s="32" t="s">
        <x:v>505</x:v>
      </x:c>
      <x:c r="D948" s="32" t="s">
        <x:v>1234</x:v>
      </x:c>
    </x:row>
    <x:row r="949" ht="157.5" hidden="0" customHeight="1">
      <x:c r="B949" s="32" t="s">
        <x:v>334</x:v>
      </x:c>
      <x:c r="C949" s="32" t="s">
        <x:v>507</x:v>
      </x:c>
      <x:c r="D949" s="32" t="s">
        <x:v>1235</x:v>
      </x:c>
    </x:row>
    <x:row r="950" ht="90" hidden="0" customHeight="1">
      <x:c r="B950" s="32" t="s">
        <x:v>334</x:v>
      </x:c>
      <x:c r="C950" s="32" t="s">
        <x:v>517</x:v>
      </x:c>
      <x:c r="D950" s="32" t="s">
        <x:v>1236</x:v>
      </x:c>
    </x:row>
    <x:row r="951" ht="57.75" hidden="0" customHeight="1">
      <x:c r="B951" s="31" t="s">
        <x:v>334</x:v>
      </x:c>
      <x:c r="C951" s="31" t="s">
        <x:v>509</x:v>
      </x:c>
      <x:c r="D951" s="31" t="s">
        <x:v>633</x:v>
      </x:c>
    </x:row>
    <x:row r="952" ht="43.5" hidden="0" customHeight="1">
      <x:c r="B952" s="30" t="s">
        <x:v>336</x:v>
      </x:c>
      <x:c r="C952" s="30" t="s">
        <x:v>497</x:v>
      </x:c>
      <x:c r="D952" s="30" t="s">
        <x:v>1237</x:v>
      </x:c>
    </x:row>
    <x:row r="953" ht="114.75" hidden="0" customHeight="1">
      <x:c r="B953" s="31" t="s">
        <x:v>336</x:v>
      </x:c>
      <x:c r="C953" s="31" t="s">
        <x:v>499</x:v>
      </x:c>
      <x:c r="D953" s="31" t="s">
        <x:v>1238</x:v>
      </x:c>
    </x:row>
    <x:row r="954" ht="57.75" hidden="0" customHeight="1">
      <x:c r="B954" s="32" t="s">
        <x:v>336</x:v>
      </x:c>
      <x:c r="C954" s="32" t="s">
        <x:v>501</x:v>
      </x:c>
      <x:c r="D954" s="32" t="s">
        <x:v>1227</x:v>
      </x:c>
    </x:row>
    <x:row r="955" ht="186" hidden="0" customHeight="1">
      <x:c r="B955" s="31" t="s">
        <x:v>336</x:v>
      </x:c>
      <x:c r="C955" s="31" t="s">
        <x:v>503</x:v>
      </x:c>
      <x:c r="D955" s="31" t="s">
        <x:v>1239</x:v>
      </x:c>
    </x:row>
    <x:row r="956" ht="129" hidden="0" customHeight="1">
      <x:c r="B956" s="32" t="s">
        <x:v>336</x:v>
      </x:c>
      <x:c r="C956" s="32" t="s">
        <x:v>505</x:v>
      </x:c>
      <x:c r="D956" s="32" t="s">
        <x:v>1240</x:v>
      </x:c>
    </x:row>
    <x:row r="957" ht="129" hidden="0" customHeight="1">
      <x:c r="B957" s="32" t="s">
        <x:v>336</x:v>
      </x:c>
      <x:c r="C957" s="32" t="s">
        <x:v>507</x:v>
      </x:c>
      <x:c r="D957" s="32" t="s">
        <x:v>1241</x:v>
      </x:c>
    </x:row>
    <x:row r="958" ht="43.5" hidden="0" customHeight="1">
      <x:c r="B958" s="31" t="s">
        <x:v>336</x:v>
      </x:c>
      <x:c r="C958" s="31" t="s">
        <x:v>509</x:v>
      </x:c>
      <x:c r="D958" s="31" t="s">
        <x:v>639</x:v>
      </x:c>
    </x:row>
    <x:row r="959" ht="34.5" hidden="0" customHeight="1">
      <x:c r="B959" s="30" t="s">
        <x:v>338</x:v>
      </x:c>
      <x:c r="C959" s="30" t="s">
        <x:v>497</x:v>
      </x:c>
      <x:c r="D959" s="30" t="s">
        <x:v>1242</x:v>
      </x:c>
    </x:row>
    <x:row r="960" ht="57.75" hidden="0" customHeight="1">
      <x:c r="B960" s="31" t="s">
        <x:v>338</x:v>
      </x:c>
      <x:c r="C960" s="31" t="s">
        <x:v>499</x:v>
      </x:c>
      <x:c r="D960" s="31" t="s">
        <x:v>1243</x:v>
      </x:c>
    </x:row>
    <x:row r="961" ht="57.75" hidden="0" customHeight="1">
      <x:c r="B961" s="32" t="s">
        <x:v>338</x:v>
      </x:c>
      <x:c r="C961" s="32" t="s">
        <x:v>501</x:v>
      </x:c>
      <x:c r="D961" s="32" t="s">
        <x:v>1227</x:v>
      </x:c>
    </x:row>
    <x:row r="962" ht="129" hidden="0" customHeight="1">
      <x:c r="B962" s="31" t="s">
        <x:v>338</x:v>
      </x:c>
      <x:c r="C962" s="31" t="s">
        <x:v>503</x:v>
      </x:c>
      <x:c r="D962" s="31" t="s">
        <x:v>1244</x:v>
      </x:c>
    </x:row>
    <x:row r="963" ht="72" hidden="0" customHeight="1">
      <x:c r="B963" s="32" t="s">
        <x:v>338</x:v>
      </x:c>
      <x:c r="C963" s="32" t="s">
        <x:v>505</x:v>
      </x:c>
      <x:c r="D963" s="32" t="s">
        <x:v>1245</x:v>
      </x:c>
    </x:row>
    <x:row r="964" ht="72" hidden="0" customHeight="1">
      <x:c r="B964" s="32" t="s">
        <x:v>338</x:v>
      </x:c>
      <x:c r="C964" s="32" t="s">
        <x:v>507</x:v>
      </x:c>
      <x:c r="D964" s="32" t="s">
        <x:v>1246</x:v>
      </x:c>
    </x:row>
    <x:row r="965" ht="43.5" hidden="0" customHeight="1">
      <x:c r="B965" s="31" t="s">
        <x:v>338</x:v>
      </x:c>
      <x:c r="C965" s="31" t="s">
        <x:v>509</x:v>
      </x:c>
      <x:c r="D965" s="31" t="s">
        <x:v>644</x:v>
      </x:c>
    </x:row>
    <x:row r="966" ht="34.5" hidden="0" customHeight="1">
      <x:c r="B966" s="30" t="s">
        <x:v>340</x:v>
      </x:c>
      <x:c r="C966" s="30" t="s">
        <x:v>497</x:v>
      </x:c>
      <x:c r="D966" s="30" t="s">
        <x:v>1247</x:v>
      </x:c>
    </x:row>
    <x:row r="967" ht="129" hidden="0" customHeight="1">
      <x:c r="B967" s="31" t="s">
        <x:v>340</x:v>
      </x:c>
      <x:c r="C967" s="31" t="s">
        <x:v>499</x:v>
      </x:c>
      <x:c r="D967" s="31" t="s">
        <x:v>1248</x:v>
      </x:c>
    </x:row>
    <x:row r="968" ht="43.5" hidden="0" customHeight="1">
      <x:c r="B968" s="32" t="s">
        <x:v>340</x:v>
      </x:c>
      <x:c r="C968" s="32" t="s">
        <x:v>501</x:v>
      </x:c>
      <x:c r="D968" s="32" t="s">
        <x:v>1249</x:v>
      </x:c>
    </x:row>
    <x:row r="969" ht="171.75" hidden="0" customHeight="1">
      <x:c r="B969" s="31" t="s">
        <x:v>340</x:v>
      </x:c>
      <x:c r="C969" s="31" t="s">
        <x:v>503</x:v>
      </x:c>
      <x:c r="D969" s="31" t="s">
        <x:v>1250</x:v>
      </x:c>
    </x:row>
    <x:row r="970" ht="114.75" hidden="0" customHeight="1">
      <x:c r="B970" s="32" t="s">
        <x:v>340</x:v>
      </x:c>
      <x:c r="C970" s="32" t="s">
        <x:v>505</x:v>
      </x:c>
      <x:c r="D970" s="32" t="s">
        <x:v>1251</x:v>
      </x:c>
    </x:row>
    <x:row r="971" ht="114.75" hidden="0" customHeight="1">
      <x:c r="B971" s="32" t="s">
        <x:v>340</x:v>
      </x:c>
      <x:c r="C971" s="32" t="s">
        <x:v>507</x:v>
      </x:c>
      <x:c r="D971" s="32" t="s">
        <x:v>1252</x:v>
      </x:c>
    </x:row>
    <x:row r="972" ht="43.5" hidden="0" customHeight="1">
      <x:c r="B972" s="31" t="s">
        <x:v>340</x:v>
      </x:c>
      <x:c r="C972" s="31" t="s">
        <x:v>509</x:v>
      </x:c>
      <x:c r="D972" s="31" t="s">
        <x:v>626</x:v>
      </x:c>
    </x:row>
    <x:row r="973" ht="43.5" hidden="0" customHeight="1">
      <x:c r="B973" s="30" t="s">
        <x:v>342</x:v>
      </x:c>
      <x:c r="C973" s="30" t="s">
        <x:v>497</x:v>
      </x:c>
      <x:c r="D973" s="30" t="s">
        <x:v>1253</x:v>
      </x:c>
    </x:row>
    <x:row r="974" ht="114.75" hidden="0" customHeight="1">
      <x:c r="B974" s="31" t="s">
        <x:v>342</x:v>
      </x:c>
      <x:c r="C974" s="31" t="s">
        <x:v>499</x:v>
      </x:c>
      <x:c r="D974" s="31" t="s">
        <x:v>1254</x:v>
      </x:c>
    </x:row>
    <x:row r="975" ht="43.5" hidden="0" customHeight="1">
      <x:c r="B975" s="32" t="s">
        <x:v>342</x:v>
      </x:c>
      <x:c r="C975" s="32" t="s">
        <x:v>501</x:v>
      </x:c>
      <x:c r="D975" s="32" t="s">
        <x:v>1249</x:v>
      </x:c>
    </x:row>
    <x:row r="976" ht="186" hidden="0" customHeight="1">
      <x:c r="B976" s="31" t="s">
        <x:v>342</x:v>
      </x:c>
      <x:c r="C976" s="31" t="s">
        <x:v>503</x:v>
      </x:c>
      <x:c r="D976" s="31" t="s">
        <x:v>1255</x:v>
      </x:c>
    </x:row>
    <x:row r="977" ht="157.5" hidden="0" customHeight="1">
      <x:c r="B977" s="32" t="s">
        <x:v>342</x:v>
      </x:c>
      <x:c r="C977" s="32" t="s">
        <x:v>505</x:v>
      </x:c>
      <x:c r="D977" s="32" t="s">
        <x:v>1256</x:v>
      </x:c>
    </x:row>
    <x:row r="978" ht="157.5" hidden="0" customHeight="1">
      <x:c r="B978" s="32" t="s">
        <x:v>342</x:v>
      </x:c>
      <x:c r="C978" s="32" t="s">
        <x:v>507</x:v>
      </x:c>
      <x:c r="D978" s="32" t="s">
        <x:v>1257</x:v>
      </x:c>
    </x:row>
    <x:row r="979" ht="90" hidden="0" customHeight="1">
      <x:c r="B979" s="32" t="s">
        <x:v>342</x:v>
      </x:c>
      <x:c r="C979" s="32" t="s">
        <x:v>517</x:v>
      </x:c>
      <x:c r="D979" s="32" t="s">
        <x:v>1258</x:v>
      </x:c>
    </x:row>
    <x:row r="980" ht="57.75" hidden="0" customHeight="1">
      <x:c r="B980" s="31" t="s">
        <x:v>342</x:v>
      </x:c>
      <x:c r="C980" s="31" t="s">
        <x:v>509</x:v>
      </x:c>
      <x:c r="D980" s="31" t="s">
        <x:v>633</x:v>
      </x:c>
    </x:row>
    <x:row r="981" ht="43.5" hidden="0" customHeight="1">
      <x:c r="B981" s="30" t="s">
        <x:v>344</x:v>
      </x:c>
      <x:c r="C981" s="30" t="s">
        <x:v>497</x:v>
      </x:c>
      <x:c r="D981" s="30" t="s">
        <x:v>1259</x:v>
      </x:c>
    </x:row>
    <x:row r="982" ht="114.75" hidden="0" customHeight="1">
      <x:c r="B982" s="31" t="s">
        <x:v>344</x:v>
      </x:c>
      <x:c r="C982" s="31" t="s">
        <x:v>499</x:v>
      </x:c>
      <x:c r="D982" s="31" t="s">
        <x:v>1260</x:v>
      </x:c>
    </x:row>
    <x:row r="983" ht="43.5" hidden="0" customHeight="1">
      <x:c r="B983" s="32" t="s">
        <x:v>344</x:v>
      </x:c>
      <x:c r="C983" s="32" t="s">
        <x:v>501</x:v>
      </x:c>
      <x:c r="D983" s="32" t="s">
        <x:v>1249</x:v>
      </x:c>
    </x:row>
    <x:row r="984" ht="186" hidden="0" customHeight="1">
      <x:c r="B984" s="31" t="s">
        <x:v>344</x:v>
      </x:c>
      <x:c r="C984" s="31" t="s">
        <x:v>503</x:v>
      </x:c>
      <x:c r="D984" s="31" t="s">
        <x:v>1261</x:v>
      </x:c>
    </x:row>
    <x:row r="985" ht="129" hidden="0" customHeight="1">
      <x:c r="B985" s="32" t="s">
        <x:v>344</x:v>
      </x:c>
      <x:c r="C985" s="32" t="s">
        <x:v>505</x:v>
      </x:c>
      <x:c r="D985" s="32" t="s">
        <x:v>1262</x:v>
      </x:c>
    </x:row>
    <x:row r="986" ht="129" hidden="0" customHeight="1">
      <x:c r="B986" s="32" t="s">
        <x:v>344</x:v>
      </x:c>
      <x:c r="C986" s="32" t="s">
        <x:v>507</x:v>
      </x:c>
      <x:c r="D986" s="32" t="s">
        <x:v>1263</x:v>
      </x:c>
    </x:row>
    <x:row r="987" ht="43.5" hidden="0" customHeight="1">
      <x:c r="B987" s="31" t="s">
        <x:v>344</x:v>
      </x:c>
      <x:c r="C987" s="31" t="s">
        <x:v>509</x:v>
      </x:c>
      <x:c r="D987" s="31" t="s">
        <x:v>639</x:v>
      </x:c>
    </x:row>
    <x:row r="988" ht="34.5" hidden="0" customHeight="1">
      <x:c r="B988" s="30" t="s">
        <x:v>346</x:v>
      </x:c>
      <x:c r="C988" s="30" t="s">
        <x:v>497</x:v>
      </x:c>
      <x:c r="D988" s="30" t="s">
        <x:v>1264</x:v>
      </x:c>
    </x:row>
    <x:row r="989" ht="57.75" hidden="0" customHeight="1">
      <x:c r="B989" s="31" t="s">
        <x:v>346</x:v>
      </x:c>
      <x:c r="C989" s="31" t="s">
        <x:v>499</x:v>
      </x:c>
      <x:c r="D989" s="31" t="s">
        <x:v>1265</x:v>
      </x:c>
    </x:row>
    <x:row r="990" ht="43.5" hidden="0" customHeight="1">
      <x:c r="B990" s="32" t="s">
        <x:v>346</x:v>
      </x:c>
      <x:c r="C990" s="32" t="s">
        <x:v>501</x:v>
      </x:c>
      <x:c r="D990" s="32" t="s">
        <x:v>1249</x:v>
      </x:c>
    </x:row>
    <x:row r="991" ht="129" hidden="0" customHeight="1">
      <x:c r="B991" s="31" t="s">
        <x:v>346</x:v>
      </x:c>
      <x:c r="C991" s="31" t="s">
        <x:v>503</x:v>
      </x:c>
      <x:c r="D991" s="31" t="s">
        <x:v>1266</x:v>
      </x:c>
    </x:row>
    <x:row r="992" ht="72" hidden="0" customHeight="1">
      <x:c r="B992" s="32" t="s">
        <x:v>346</x:v>
      </x:c>
      <x:c r="C992" s="32" t="s">
        <x:v>505</x:v>
      </x:c>
      <x:c r="D992" s="32" t="s">
        <x:v>1267</x:v>
      </x:c>
    </x:row>
    <x:row r="993" ht="72" hidden="0" customHeight="1">
      <x:c r="B993" s="32" t="s">
        <x:v>346</x:v>
      </x:c>
      <x:c r="C993" s="32" t="s">
        <x:v>507</x:v>
      </x:c>
      <x:c r="D993" s="32" t="s">
        <x:v>1268</x:v>
      </x:c>
    </x:row>
    <x:row r="994" ht="43.5" hidden="0" customHeight="1">
      <x:c r="B994" s="31" t="s">
        <x:v>346</x:v>
      </x:c>
      <x:c r="C994" s="31" t="s">
        <x:v>509</x:v>
      </x:c>
      <x:c r="D994" s="31" t="s">
        <x:v>644</x:v>
      </x:c>
    </x:row>
    <x:row r="995" ht="34.5" hidden="0" customHeight="1">
      <x:c r="B995" s="30" t="s">
        <x:v>348</x:v>
      </x:c>
      <x:c r="C995" s="30" t="s">
        <x:v>497</x:v>
      </x:c>
      <x:c r="D995" s="30" t="s">
        <x:v>1269</x:v>
      </x:c>
    </x:row>
    <x:row r="996" ht="114.75" hidden="0" customHeight="1">
      <x:c r="B996" s="31" t="s">
        <x:v>348</x:v>
      </x:c>
      <x:c r="C996" s="31" t="s">
        <x:v>499</x:v>
      </x:c>
      <x:c r="D996" s="31" t="s">
        <x:v>1270</x:v>
      </x:c>
    </x:row>
    <x:row r="997" ht="43.5" hidden="0" customHeight="1">
      <x:c r="B997" s="32" t="s">
        <x:v>348</x:v>
      </x:c>
      <x:c r="C997" s="32" t="s">
        <x:v>501</x:v>
      </x:c>
      <x:c r="D997" s="32" t="s">
        <x:v>1271</x:v>
      </x:c>
    </x:row>
    <x:row r="998" ht="157.5" hidden="0" customHeight="1">
      <x:c r="B998" s="31" t="s">
        <x:v>348</x:v>
      </x:c>
      <x:c r="C998" s="31" t="s">
        <x:v>503</x:v>
      </x:c>
      <x:c r="D998" s="31" t="s">
        <x:v>1272</x:v>
      </x:c>
    </x:row>
    <x:row r="999" ht="100.5" hidden="0" customHeight="1">
      <x:c r="B999" s="32" t="s">
        <x:v>348</x:v>
      </x:c>
      <x:c r="C999" s="32" t="s">
        <x:v>505</x:v>
      </x:c>
      <x:c r="D999" s="32" t="s">
        <x:v>1273</x:v>
      </x:c>
    </x:row>
    <x:row r="1000" ht="100.5" hidden="0" customHeight="1">
      <x:c r="B1000" s="32" t="s">
        <x:v>348</x:v>
      </x:c>
      <x:c r="C1000" s="32" t="s">
        <x:v>507</x:v>
      </x:c>
      <x:c r="D1000" s="32" t="s">
        <x:v>1274</x:v>
      </x:c>
    </x:row>
    <x:row r="1001" ht="43.5" hidden="0" customHeight="1">
      <x:c r="B1001" s="31" t="s">
        <x:v>348</x:v>
      </x:c>
      <x:c r="C1001" s="31" t="s">
        <x:v>509</x:v>
      </x:c>
      <x:c r="D1001" s="31" t="s">
        <x:v>626</x:v>
      </x:c>
    </x:row>
    <x:row r="1002" ht="43.5" hidden="0" customHeight="1">
      <x:c r="B1002" s="30" t="s">
        <x:v>350</x:v>
      </x:c>
      <x:c r="C1002" s="30" t="s">
        <x:v>497</x:v>
      </x:c>
      <x:c r="D1002" s="30" t="s">
        <x:v>1275</x:v>
      </x:c>
    </x:row>
    <x:row r="1003" ht="114.75" hidden="0" customHeight="1">
      <x:c r="B1003" s="31" t="s">
        <x:v>350</x:v>
      </x:c>
      <x:c r="C1003" s="31" t="s">
        <x:v>499</x:v>
      </x:c>
      <x:c r="D1003" s="31" t="s">
        <x:v>1276</x:v>
      </x:c>
    </x:row>
    <x:row r="1004" ht="43.5" hidden="0" customHeight="1">
      <x:c r="B1004" s="32" t="s">
        <x:v>350</x:v>
      </x:c>
      <x:c r="C1004" s="32" t="s">
        <x:v>501</x:v>
      </x:c>
      <x:c r="D1004" s="32" t="s">
        <x:v>1271</x:v>
      </x:c>
    </x:row>
    <x:row r="1005" ht="186" hidden="0" customHeight="1">
      <x:c r="B1005" s="31" t="s">
        <x:v>350</x:v>
      </x:c>
      <x:c r="C1005" s="31" t="s">
        <x:v>503</x:v>
      </x:c>
      <x:c r="D1005" s="31" t="s">
        <x:v>1277</x:v>
      </x:c>
    </x:row>
    <x:row r="1006" ht="143.25" hidden="0" customHeight="1">
      <x:c r="B1006" s="32" t="s">
        <x:v>350</x:v>
      </x:c>
      <x:c r="C1006" s="32" t="s">
        <x:v>505</x:v>
      </x:c>
      <x:c r="D1006" s="32" t="s">
        <x:v>1278</x:v>
      </x:c>
    </x:row>
    <x:row r="1007" ht="143.25" hidden="0" customHeight="1">
      <x:c r="B1007" s="32" t="s">
        <x:v>350</x:v>
      </x:c>
      <x:c r="C1007" s="32" t="s">
        <x:v>507</x:v>
      </x:c>
      <x:c r="D1007" s="32" t="s">
        <x:v>1279</x:v>
      </x:c>
    </x:row>
    <x:row r="1008" ht="90" hidden="0" customHeight="1">
      <x:c r="B1008" s="32" t="s">
        <x:v>350</x:v>
      </x:c>
      <x:c r="C1008" s="32" t="s">
        <x:v>517</x:v>
      </x:c>
      <x:c r="D1008" s="32" t="s">
        <x:v>1280</x:v>
      </x:c>
    </x:row>
    <x:row r="1009" ht="57.75" hidden="0" customHeight="1">
      <x:c r="B1009" s="31" t="s">
        <x:v>350</x:v>
      </x:c>
      <x:c r="C1009" s="31" t="s">
        <x:v>509</x:v>
      </x:c>
      <x:c r="D1009" s="31" t="s">
        <x:v>633</x:v>
      </x:c>
    </x:row>
    <x:row r="1010" ht="43.5" hidden="0" customHeight="1">
      <x:c r="B1010" s="30" t="s">
        <x:v>352</x:v>
      </x:c>
      <x:c r="C1010" s="30" t="s">
        <x:v>497</x:v>
      </x:c>
      <x:c r="D1010" s="30" t="s">
        <x:v>1281</x:v>
      </x:c>
    </x:row>
    <x:row r="1011" ht="114.75" hidden="0" customHeight="1">
      <x:c r="B1011" s="31" t="s">
        <x:v>352</x:v>
      </x:c>
      <x:c r="C1011" s="31" t="s">
        <x:v>499</x:v>
      </x:c>
      <x:c r="D1011" s="31" t="s">
        <x:v>1282</x:v>
      </x:c>
    </x:row>
    <x:row r="1012" ht="43.5" hidden="0" customHeight="1">
      <x:c r="B1012" s="32" t="s">
        <x:v>352</x:v>
      </x:c>
      <x:c r="C1012" s="32" t="s">
        <x:v>501</x:v>
      </x:c>
      <x:c r="D1012" s="32" t="s">
        <x:v>1271</x:v>
      </x:c>
    </x:row>
    <x:row r="1013" ht="186" hidden="0" customHeight="1">
      <x:c r="B1013" s="31" t="s">
        <x:v>352</x:v>
      </x:c>
      <x:c r="C1013" s="31" t="s">
        <x:v>503</x:v>
      </x:c>
      <x:c r="D1013" s="31" t="s">
        <x:v>1283</x:v>
      </x:c>
    </x:row>
    <x:row r="1014" ht="129" hidden="0" customHeight="1">
      <x:c r="B1014" s="32" t="s">
        <x:v>352</x:v>
      </x:c>
      <x:c r="C1014" s="32" t="s">
        <x:v>505</x:v>
      </x:c>
      <x:c r="D1014" s="32" t="s">
        <x:v>1284</x:v>
      </x:c>
    </x:row>
    <x:row r="1015" ht="129" hidden="0" customHeight="1">
      <x:c r="B1015" s="32" t="s">
        <x:v>352</x:v>
      </x:c>
      <x:c r="C1015" s="32" t="s">
        <x:v>507</x:v>
      </x:c>
      <x:c r="D1015" s="32" t="s">
        <x:v>1285</x:v>
      </x:c>
    </x:row>
    <x:row r="1016" ht="43.5" hidden="0" customHeight="1">
      <x:c r="B1016" s="31" t="s">
        <x:v>352</x:v>
      </x:c>
      <x:c r="C1016" s="31" t="s">
        <x:v>509</x:v>
      </x:c>
      <x:c r="D1016" s="31" t="s">
        <x:v>639</x:v>
      </x:c>
    </x:row>
    <x:row r="1017" ht="34.5" hidden="0" customHeight="1">
      <x:c r="B1017" s="30" t="s">
        <x:v>354</x:v>
      </x:c>
      <x:c r="C1017" s="30" t="s">
        <x:v>497</x:v>
      </x:c>
      <x:c r="D1017" s="30" t="s">
        <x:v>1286</x:v>
      </x:c>
    </x:row>
    <x:row r="1018" ht="57.75" hidden="0" customHeight="1">
      <x:c r="B1018" s="31" t="s">
        <x:v>354</x:v>
      </x:c>
      <x:c r="C1018" s="31" t="s">
        <x:v>499</x:v>
      </x:c>
      <x:c r="D1018" s="31" t="s">
        <x:v>1287</x:v>
      </x:c>
    </x:row>
    <x:row r="1019" ht="43.5" hidden="0" customHeight="1">
      <x:c r="B1019" s="32" t="s">
        <x:v>354</x:v>
      </x:c>
      <x:c r="C1019" s="32" t="s">
        <x:v>501</x:v>
      </x:c>
      <x:c r="D1019" s="32" t="s">
        <x:v>1271</x:v>
      </x:c>
    </x:row>
    <x:row r="1020" ht="129" hidden="0" customHeight="1">
      <x:c r="B1020" s="31" t="s">
        <x:v>354</x:v>
      </x:c>
      <x:c r="C1020" s="31" t="s">
        <x:v>503</x:v>
      </x:c>
      <x:c r="D1020" s="31" t="s">
        <x:v>1288</x:v>
      </x:c>
    </x:row>
    <x:row r="1021" ht="72" hidden="0" customHeight="1">
      <x:c r="B1021" s="32" t="s">
        <x:v>354</x:v>
      </x:c>
      <x:c r="C1021" s="32" t="s">
        <x:v>505</x:v>
      </x:c>
      <x:c r="D1021" s="32" t="s">
        <x:v>1289</x:v>
      </x:c>
    </x:row>
    <x:row r="1022" ht="72" hidden="0" customHeight="1">
      <x:c r="B1022" s="32" t="s">
        <x:v>354</x:v>
      </x:c>
      <x:c r="C1022" s="32" t="s">
        <x:v>507</x:v>
      </x:c>
      <x:c r="D1022" s="32" t="s">
        <x:v>1290</x:v>
      </x:c>
    </x:row>
    <x:row r="1023" ht="43.5" hidden="0" customHeight="1">
      <x:c r="B1023" s="31" t="s">
        <x:v>354</x:v>
      </x:c>
      <x:c r="C1023" s="31" t="s">
        <x:v>509</x:v>
      </x:c>
      <x:c r="D1023" s="31" t="s">
        <x:v>644</x:v>
      </x:c>
    </x:row>
    <x:row r="1024" ht="34.5" hidden="0" customHeight="1">
      <x:c r="B1024" s="30" t="s">
        <x:v>356</x:v>
      </x:c>
      <x:c r="C1024" s="30" t="s">
        <x:v>497</x:v>
      </x:c>
      <x:c r="D1024" s="30" t="s">
        <x:v>1291</x:v>
      </x:c>
    </x:row>
    <x:row r="1025" ht="129" hidden="0" customHeight="1">
      <x:c r="B1025" s="31" t="s">
        <x:v>356</x:v>
      </x:c>
      <x:c r="C1025" s="31" t="s">
        <x:v>499</x:v>
      </x:c>
      <x:c r="D1025" s="31" t="s">
        <x:v>1292</x:v>
      </x:c>
    </x:row>
    <x:row r="1026" ht="57.75" hidden="0" customHeight="1">
      <x:c r="B1026" s="32" t="s">
        <x:v>356</x:v>
      </x:c>
      <x:c r="C1026" s="32" t="s">
        <x:v>501</x:v>
      </x:c>
      <x:c r="D1026" s="32" t="s">
        <x:v>1293</x:v>
      </x:c>
    </x:row>
    <x:row r="1027" ht="171.75" hidden="0" customHeight="1">
      <x:c r="B1027" s="31" t="s">
        <x:v>356</x:v>
      </x:c>
      <x:c r="C1027" s="31" t="s">
        <x:v>503</x:v>
      </x:c>
      <x:c r="D1027" s="31" t="s">
        <x:v>1294</x:v>
      </x:c>
    </x:row>
    <x:row r="1028" ht="114.75" hidden="0" customHeight="1">
      <x:c r="B1028" s="32" t="s">
        <x:v>356</x:v>
      </x:c>
      <x:c r="C1028" s="32" t="s">
        <x:v>505</x:v>
      </x:c>
      <x:c r="D1028" s="32" t="s">
        <x:v>1295</x:v>
      </x:c>
    </x:row>
    <x:row r="1029" ht="114.75" hidden="0" customHeight="1">
      <x:c r="B1029" s="32" t="s">
        <x:v>356</x:v>
      </x:c>
      <x:c r="C1029" s="32" t="s">
        <x:v>507</x:v>
      </x:c>
      <x:c r="D1029" s="32" t="s">
        <x:v>1296</x:v>
      </x:c>
    </x:row>
    <x:row r="1030" ht="43.5" hidden="0" customHeight="1">
      <x:c r="B1030" s="31" t="s">
        <x:v>356</x:v>
      </x:c>
      <x:c r="C1030" s="31" t="s">
        <x:v>509</x:v>
      </x:c>
      <x:c r="D1030" s="31" t="s">
        <x:v>626</x:v>
      </x:c>
    </x:row>
    <x:row r="1031" ht="43.5" hidden="0" customHeight="1">
      <x:c r="B1031" s="30" t="s">
        <x:v>358</x:v>
      </x:c>
      <x:c r="C1031" s="30" t="s">
        <x:v>497</x:v>
      </x:c>
      <x:c r="D1031" s="30" t="s">
        <x:v>1297</x:v>
      </x:c>
    </x:row>
    <x:row r="1032" ht="114.75" hidden="0" customHeight="1">
      <x:c r="B1032" s="31" t="s">
        <x:v>358</x:v>
      </x:c>
      <x:c r="C1032" s="31" t="s">
        <x:v>499</x:v>
      </x:c>
      <x:c r="D1032" s="31" t="s">
        <x:v>1298</x:v>
      </x:c>
    </x:row>
    <x:row r="1033" ht="57.75" hidden="0" customHeight="1">
      <x:c r="B1033" s="32" t="s">
        <x:v>358</x:v>
      </x:c>
      <x:c r="C1033" s="32" t="s">
        <x:v>501</x:v>
      </x:c>
      <x:c r="D1033" s="32" t="s">
        <x:v>1293</x:v>
      </x:c>
    </x:row>
    <x:row r="1034" ht="186" hidden="0" customHeight="1">
      <x:c r="B1034" s="31" t="s">
        <x:v>358</x:v>
      </x:c>
      <x:c r="C1034" s="31" t="s">
        <x:v>503</x:v>
      </x:c>
      <x:c r="D1034" s="31" t="s">
        <x:v>1299</x:v>
      </x:c>
    </x:row>
    <x:row r="1035" ht="157.5" hidden="0" customHeight="1">
      <x:c r="B1035" s="32" t="s">
        <x:v>358</x:v>
      </x:c>
      <x:c r="C1035" s="32" t="s">
        <x:v>505</x:v>
      </x:c>
      <x:c r="D1035" s="32" t="s">
        <x:v>1300</x:v>
      </x:c>
    </x:row>
    <x:row r="1036" ht="157.5" hidden="0" customHeight="1">
      <x:c r="B1036" s="32" t="s">
        <x:v>358</x:v>
      </x:c>
      <x:c r="C1036" s="32" t="s">
        <x:v>507</x:v>
      </x:c>
      <x:c r="D1036" s="32" t="s">
        <x:v>1301</x:v>
      </x:c>
    </x:row>
    <x:row r="1037" ht="90" hidden="0" customHeight="1">
      <x:c r="B1037" s="32" t="s">
        <x:v>358</x:v>
      </x:c>
      <x:c r="C1037" s="32" t="s">
        <x:v>517</x:v>
      </x:c>
      <x:c r="D1037" s="32" t="s">
        <x:v>1302</x:v>
      </x:c>
    </x:row>
    <x:row r="1038" ht="57.75" hidden="0" customHeight="1">
      <x:c r="B1038" s="31" t="s">
        <x:v>358</x:v>
      </x:c>
      <x:c r="C1038" s="31" t="s">
        <x:v>509</x:v>
      </x:c>
      <x:c r="D1038" s="31" t="s">
        <x:v>633</x:v>
      </x:c>
    </x:row>
    <x:row r="1039" ht="43.5" hidden="0" customHeight="1">
      <x:c r="B1039" s="30" t="s">
        <x:v>360</x:v>
      </x:c>
      <x:c r="C1039" s="30" t="s">
        <x:v>497</x:v>
      </x:c>
      <x:c r="D1039" s="30" t="s">
        <x:v>1303</x:v>
      </x:c>
    </x:row>
    <x:row r="1040" ht="114.75" hidden="0" customHeight="1">
      <x:c r="B1040" s="31" t="s">
        <x:v>360</x:v>
      </x:c>
      <x:c r="C1040" s="31" t="s">
        <x:v>499</x:v>
      </x:c>
      <x:c r="D1040" s="31" t="s">
        <x:v>1304</x:v>
      </x:c>
    </x:row>
    <x:row r="1041" ht="57.75" hidden="0" customHeight="1">
      <x:c r="B1041" s="32" t="s">
        <x:v>360</x:v>
      </x:c>
      <x:c r="C1041" s="32" t="s">
        <x:v>501</x:v>
      </x:c>
      <x:c r="D1041" s="32" t="s">
        <x:v>1293</x:v>
      </x:c>
    </x:row>
    <x:row r="1042" ht="186" hidden="0" customHeight="1">
      <x:c r="B1042" s="31" t="s">
        <x:v>360</x:v>
      </x:c>
      <x:c r="C1042" s="31" t="s">
        <x:v>503</x:v>
      </x:c>
      <x:c r="D1042" s="31" t="s">
        <x:v>1305</x:v>
      </x:c>
    </x:row>
    <x:row r="1043" ht="129" hidden="0" customHeight="1">
      <x:c r="B1043" s="32" t="s">
        <x:v>360</x:v>
      </x:c>
      <x:c r="C1043" s="32" t="s">
        <x:v>505</x:v>
      </x:c>
      <x:c r="D1043" s="32" t="s">
        <x:v>1306</x:v>
      </x:c>
    </x:row>
    <x:row r="1044" ht="129" hidden="0" customHeight="1">
      <x:c r="B1044" s="32" t="s">
        <x:v>360</x:v>
      </x:c>
      <x:c r="C1044" s="32" t="s">
        <x:v>507</x:v>
      </x:c>
      <x:c r="D1044" s="32" t="s">
        <x:v>1307</x:v>
      </x:c>
    </x:row>
    <x:row r="1045" ht="43.5" hidden="0" customHeight="1">
      <x:c r="B1045" s="31" t="s">
        <x:v>360</x:v>
      </x:c>
      <x:c r="C1045" s="31" t="s">
        <x:v>509</x:v>
      </x:c>
      <x:c r="D1045" s="31" t="s">
        <x:v>639</x:v>
      </x:c>
    </x:row>
    <x:row r="1046" ht="43.5" hidden="0" customHeight="1">
      <x:c r="B1046" s="30" t="s">
        <x:v>362</x:v>
      </x:c>
      <x:c r="C1046" s="30" t="s">
        <x:v>497</x:v>
      </x:c>
      <x:c r="D1046" s="30" t="s">
        <x:v>1308</x:v>
      </x:c>
    </x:row>
    <x:row r="1047" ht="72" hidden="0" customHeight="1">
      <x:c r="B1047" s="31" t="s">
        <x:v>362</x:v>
      </x:c>
      <x:c r="C1047" s="31" t="s">
        <x:v>499</x:v>
      </x:c>
      <x:c r="D1047" s="31" t="s">
        <x:v>1309</x:v>
      </x:c>
    </x:row>
    <x:row r="1048" ht="57.75" hidden="0" customHeight="1">
      <x:c r="B1048" s="32" t="s">
        <x:v>362</x:v>
      </x:c>
      <x:c r="C1048" s="32" t="s">
        <x:v>501</x:v>
      </x:c>
      <x:c r="D1048" s="32" t="s">
        <x:v>1293</x:v>
      </x:c>
    </x:row>
    <x:row r="1049" ht="129" hidden="0" customHeight="1">
      <x:c r="B1049" s="31" t="s">
        <x:v>362</x:v>
      </x:c>
      <x:c r="C1049" s="31" t="s">
        <x:v>503</x:v>
      </x:c>
      <x:c r="D1049" s="31" t="s">
        <x:v>1310</x:v>
      </x:c>
    </x:row>
    <x:row r="1050" ht="72" hidden="0" customHeight="1">
      <x:c r="B1050" s="32" t="s">
        <x:v>362</x:v>
      </x:c>
      <x:c r="C1050" s="32" t="s">
        <x:v>505</x:v>
      </x:c>
      <x:c r="D1050" s="32" t="s">
        <x:v>1311</x:v>
      </x:c>
    </x:row>
    <x:row r="1051" ht="72" hidden="0" customHeight="1">
      <x:c r="B1051" s="32" t="s">
        <x:v>362</x:v>
      </x:c>
      <x:c r="C1051" s="32" t="s">
        <x:v>507</x:v>
      </x:c>
      <x:c r="D1051" s="32" t="s">
        <x:v>1312</x:v>
      </x:c>
    </x:row>
    <x:row r="1052" ht="43.5" hidden="0" customHeight="1">
      <x:c r="B1052" s="31" t="s">
        <x:v>362</x:v>
      </x:c>
      <x:c r="C1052" s="31" t="s">
        <x:v>509</x:v>
      </x:c>
      <x:c r="D1052" s="31" t="s">
        <x:v>711</x:v>
      </x:c>
    </x:row>
    <x:row r="1053" ht="34.5" hidden="0" customHeight="1">
      <x:c r="B1053" s="30" t="s">
        <x:v>364</x:v>
      </x:c>
      <x:c r="C1053" s="30" t="s">
        <x:v>497</x:v>
      </x:c>
      <x:c r="D1053" s="30" t="s">
        <x:v>1313</x:v>
      </x:c>
    </x:row>
    <x:row r="1054" ht="129" hidden="0" customHeight="1">
      <x:c r="B1054" s="31" t="s">
        <x:v>364</x:v>
      </x:c>
      <x:c r="C1054" s="31" t="s">
        <x:v>499</x:v>
      </x:c>
      <x:c r="D1054" s="31" t="s">
        <x:v>1314</x:v>
      </x:c>
    </x:row>
    <x:row r="1055" ht="43.5" hidden="0" customHeight="1">
      <x:c r="B1055" s="32" t="s">
        <x:v>364</x:v>
      </x:c>
      <x:c r="C1055" s="32" t="s">
        <x:v>501</x:v>
      </x:c>
      <x:c r="D1055" s="32" t="s">
        <x:v>1315</x:v>
      </x:c>
    </x:row>
    <x:row r="1056" ht="171.75" hidden="0" customHeight="1">
      <x:c r="B1056" s="31" t="s">
        <x:v>364</x:v>
      </x:c>
      <x:c r="C1056" s="31" t="s">
        <x:v>503</x:v>
      </x:c>
      <x:c r="D1056" s="31" t="s">
        <x:v>1316</x:v>
      </x:c>
    </x:row>
    <x:row r="1057" ht="100.5" hidden="0" customHeight="1">
      <x:c r="B1057" s="32" t="s">
        <x:v>364</x:v>
      </x:c>
      <x:c r="C1057" s="32" t="s">
        <x:v>505</x:v>
      </x:c>
      <x:c r="D1057" s="32" t="s">
        <x:v>1317</x:v>
      </x:c>
    </x:row>
    <x:row r="1058" ht="100.5" hidden="0" customHeight="1">
      <x:c r="B1058" s="32" t="s">
        <x:v>364</x:v>
      </x:c>
      <x:c r="C1058" s="32" t="s">
        <x:v>507</x:v>
      </x:c>
      <x:c r="D1058" s="32" t="s">
        <x:v>1318</x:v>
      </x:c>
    </x:row>
    <x:row r="1059" ht="43.5" hidden="0" customHeight="1">
      <x:c r="B1059" s="31" t="s">
        <x:v>364</x:v>
      </x:c>
      <x:c r="C1059" s="31" t="s">
        <x:v>509</x:v>
      </x:c>
      <x:c r="D1059" s="31" t="s">
        <x:v>626</x:v>
      </x:c>
    </x:row>
    <x:row r="1060" ht="43.5" hidden="0" customHeight="1">
      <x:c r="B1060" s="30" t="s">
        <x:v>366</x:v>
      </x:c>
      <x:c r="C1060" s="30" t="s">
        <x:v>497</x:v>
      </x:c>
      <x:c r="D1060" s="30" t="s">
        <x:v>1319</x:v>
      </x:c>
    </x:row>
    <x:row r="1061" ht="114.75" hidden="0" customHeight="1">
      <x:c r="B1061" s="31" t="s">
        <x:v>366</x:v>
      </x:c>
      <x:c r="C1061" s="31" t="s">
        <x:v>499</x:v>
      </x:c>
      <x:c r="D1061" s="31" t="s">
        <x:v>1320</x:v>
      </x:c>
    </x:row>
    <x:row r="1062" ht="43.5" hidden="0" customHeight="1">
      <x:c r="B1062" s="32" t="s">
        <x:v>366</x:v>
      </x:c>
      <x:c r="C1062" s="32" t="s">
        <x:v>501</x:v>
      </x:c>
      <x:c r="D1062" s="32" t="s">
        <x:v>1315</x:v>
      </x:c>
    </x:row>
    <x:row r="1063" ht="186" hidden="0" customHeight="1">
      <x:c r="B1063" s="31" t="s">
        <x:v>366</x:v>
      </x:c>
      <x:c r="C1063" s="31" t="s">
        <x:v>503</x:v>
      </x:c>
      <x:c r="D1063" s="31" t="s">
        <x:v>1321</x:v>
      </x:c>
    </x:row>
    <x:row r="1064" ht="143.25" hidden="0" customHeight="1">
      <x:c r="B1064" s="32" t="s">
        <x:v>366</x:v>
      </x:c>
      <x:c r="C1064" s="32" t="s">
        <x:v>505</x:v>
      </x:c>
      <x:c r="D1064" s="32" t="s">
        <x:v>1322</x:v>
      </x:c>
    </x:row>
    <x:row r="1065" ht="143.25" hidden="0" customHeight="1">
      <x:c r="B1065" s="32" t="s">
        <x:v>366</x:v>
      </x:c>
      <x:c r="C1065" s="32" t="s">
        <x:v>507</x:v>
      </x:c>
      <x:c r="D1065" s="32" t="s">
        <x:v>1323</x:v>
      </x:c>
    </x:row>
    <x:row r="1066" ht="90" hidden="0" customHeight="1">
      <x:c r="B1066" s="32" t="s">
        <x:v>366</x:v>
      </x:c>
      <x:c r="C1066" s="32" t="s">
        <x:v>517</x:v>
      </x:c>
      <x:c r="D1066" s="32" t="s">
        <x:v>1324</x:v>
      </x:c>
    </x:row>
    <x:row r="1067" ht="57.75" hidden="0" customHeight="1">
      <x:c r="B1067" s="31" t="s">
        <x:v>366</x:v>
      </x:c>
      <x:c r="C1067" s="31" t="s">
        <x:v>509</x:v>
      </x:c>
      <x:c r="D1067" s="31" t="s">
        <x:v>633</x:v>
      </x:c>
    </x:row>
    <x:row r="1068" ht="43.5" hidden="0" customHeight="1">
      <x:c r="B1068" s="30" t="s">
        <x:v>368</x:v>
      </x:c>
      <x:c r="C1068" s="30" t="s">
        <x:v>497</x:v>
      </x:c>
      <x:c r="D1068" s="30" t="s">
        <x:v>1325</x:v>
      </x:c>
    </x:row>
    <x:row r="1069" ht="114.75" hidden="0" customHeight="1">
      <x:c r="B1069" s="31" t="s">
        <x:v>368</x:v>
      </x:c>
      <x:c r="C1069" s="31" t="s">
        <x:v>499</x:v>
      </x:c>
      <x:c r="D1069" s="31" t="s">
        <x:v>1326</x:v>
      </x:c>
    </x:row>
    <x:row r="1070" ht="43.5" hidden="0" customHeight="1">
      <x:c r="B1070" s="32" t="s">
        <x:v>368</x:v>
      </x:c>
      <x:c r="C1070" s="32" t="s">
        <x:v>501</x:v>
      </x:c>
      <x:c r="D1070" s="32" t="s">
        <x:v>1315</x:v>
      </x:c>
    </x:row>
    <x:row r="1071" ht="186" hidden="0" customHeight="1">
      <x:c r="B1071" s="31" t="s">
        <x:v>368</x:v>
      </x:c>
      <x:c r="C1071" s="31" t="s">
        <x:v>503</x:v>
      </x:c>
      <x:c r="D1071" s="31" t="s">
        <x:v>1327</x:v>
      </x:c>
    </x:row>
    <x:row r="1072" ht="129" hidden="0" customHeight="1">
      <x:c r="B1072" s="32" t="s">
        <x:v>368</x:v>
      </x:c>
      <x:c r="C1072" s="32" t="s">
        <x:v>505</x:v>
      </x:c>
      <x:c r="D1072" s="32" t="s">
        <x:v>1328</x:v>
      </x:c>
    </x:row>
    <x:row r="1073" ht="129" hidden="0" customHeight="1">
      <x:c r="B1073" s="32" t="s">
        <x:v>368</x:v>
      </x:c>
      <x:c r="C1073" s="32" t="s">
        <x:v>507</x:v>
      </x:c>
      <x:c r="D1073" s="32" t="s">
        <x:v>1329</x:v>
      </x:c>
    </x:row>
    <x:row r="1074" ht="43.5" hidden="0" customHeight="1">
      <x:c r="B1074" s="31" t="s">
        <x:v>368</x:v>
      </x:c>
      <x:c r="C1074" s="31" t="s">
        <x:v>509</x:v>
      </x:c>
      <x:c r="D1074" s="31" t="s">
        <x:v>639</x:v>
      </x:c>
    </x:row>
    <x:row r="1075" ht="34.5" hidden="0" customHeight="1">
      <x:c r="B1075" s="30" t="s">
        <x:v>370</x:v>
      </x:c>
      <x:c r="C1075" s="30" t="s">
        <x:v>497</x:v>
      </x:c>
      <x:c r="D1075" s="30" t="s">
        <x:v>1330</x:v>
      </x:c>
    </x:row>
    <x:row r="1076" ht="57.75" hidden="0" customHeight="1">
      <x:c r="B1076" s="31" t="s">
        <x:v>370</x:v>
      </x:c>
      <x:c r="C1076" s="31" t="s">
        <x:v>499</x:v>
      </x:c>
      <x:c r="D1076" s="31" t="s">
        <x:v>1331</x:v>
      </x:c>
    </x:row>
    <x:row r="1077" ht="43.5" hidden="0" customHeight="1">
      <x:c r="B1077" s="32" t="s">
        <x:v>370</x:v>
      </x:c>
      <x:c r="C1077" s="32" t="s">
        <x:v>501</x:v>
      </x:c>
      <x:c r="D1077" s="32" t="s">
        <x:v>1315</x:v>
      </x:c>
    </x:row>
    <x:row r="1078" ht="129" hidden="0" customHeight="1">
      <x:c r="B1078" s="31" t="s">
        <x:v>370</x:v>
      </x:c>
      <x:c r="C1078" s="31" t="s">
        <x:v>503</x:v>
      </x:c>
      <x:c r="D1078" s="31" t="s">
        <x:v>1332</x:v>
      </x:c>
    </x:row>
    <x:row r="1079" ht="72" hidden="0" customHeight="1">
      <x:c r="B1079" s="32" t="s">
        <x:v>370</x:v>
      </x:c>
      <x:c r="C1079" s="32" t="s">
        <x:v>505</x:v>
      </x:c>
      <x:c r="D1079" s="32" t="s">
        <x:v>1333</x:v>
      </x:c>
    </x:row>
    <x:row r="1080" ht="72" hidden="0" customHeight="1">
      <x:c r="B1080" s="32" t="s">
        <x:v>370</x:v>
      </x:c>
      <x:c r="C1080" s="32" t="s">
        <x:v>507</x:v>
      </x:c>
      <x:c r="D1080" s="32" t="s">
        <x:v>1334</x:v>
      </x:c>
    </x:row>
    <x:row r="1081" ht="43.5" hidden="0" customHeight="1">
      <x:c r="B1081" s="31" t="s">
        <x:v>370</x:v>
      </x:c>
      <x:c r="C1081" s="31" t="s">
        <x:v>509</x:v>
      </x:c>
      <x:c r="D1081" s="31" t="s">
        <x:v>644</x:v>
      </x:c>
    </x:row>
    <x:row r="1082" ht="34.5" hidden="0" customHeight="1">
      <x:c r="B1082" s="30" t="s">
        <x:v>372</x:v>
      </x:c>
      <x:c r="C1082" s="30" t="s">
        <x:v>497</x:v>
      </x:c>
      <x:c r="D1082" s="30" t="s">
        <x:v>373</x:v>
      </x:c>
    </x:row>
    <x:row r="1083" ht="129" hidden="0" customHeight="1">
      <x:c r="B1083" s="31" t="s">
        <x:v>372</x:v>
      </x:c>
      <x:c r="C1083" s="31" t="s">
        <x:v>499</x:v>
      </x:c>
      <x:c r="D1083" s="31" t="s">
        <x:v>1335</x:v>
      </x:c>
    </x:row>
    <x:row r="1084" ht="43.5" hidden="0" customHeight="1">
      <x:c r="B1084" s="32" t="s">
        <x:v>372</x:v>
      </x:c>
      <x:c r="C1084" s="32" t="s">
        <x:v>501</x:v>
      </x:c>
      <x:c r="D1084" s="32" t="s">
        <x:v>1336</x:v>
      </x:c>
    </x:row>
    <x:row r="1085" ht="171.75" hidden="0" customHeight="1">
      <x:c r="B1085" s="31" t="s">
        <x:v>372</x:v>
      </x:c>
      <x:c r="C1085" s="31" t="s">
        <x:v>503</x:v>
      </x:c>
      <x:c r="D1085" s="31" t="s">
        <x:v>1337</x:v>
      </x:c>
    </x:row>
    <x:row r="1086" ht="114.75" hidden="0" customHeight="1">
      <x:c r="B1086" s="32" t="s">
        <x:v>372</x:v>
      </x:c>
      <x:c r="C1086" s="32" t="s">
        <x:v>505</x:v>
      </x:c>
      <x:c r="D1086" s="32" t="s">
        <x:v>1338</x:v>
      </x:c>
    </x:row>
    <x:row r="1087" ht="114.75" hidden="0" customHeight="1">
      <x:c r="B1087" s="32" t="s">
        <x:v>372</x:v>
      </x:c>
      <x:c r="C1087" s="32" t="s">
        <x:v>507</x:v>
      </x:c>
      <x:c r="D1087" s="32" t="s">
        <x:v>1339</x:v>
      </x:c>
    </x:row>
    <x:row r="1088" ht="43.5" hidden="0" customHeight="1">
      <x:c r="B1088" s="31" t="s">
        <x:v>372</x:v>
      </x:c>
      <x:c r="C1088" s="31" t="s">
        <x:v>509</x:v>
      </x:c>
      <x:c r="D1088" s="31" t="s">
        <x:v>626</x:v>
      </x:c>
    </x:row>
    <x:row r="1089" ht="43.5" hidden="0" customHeight="1">
      <x:c r="B1089" s="30" t="s">
        <x:v>374</x:v>
      </x:c>
      <x:c r="C1089" s="30" t="s">
        <x:v>497</x:v>
      </x:c>
      <x:c r="D1089" s="30" t="s">
        <x:v>1340</x:v>
      </x:c>
    </x:row>
    <x:row r="1090" ht="114.75" hidden="0" customHeight="1">
      <x:c r="B1090" s="31" t="s">
        <x:v>374</x:v>
      </x:c>
      <x:c r="C1090" s="31" t="s">
        <x:v>499</x:v>
      </x:c>
      <x:c r="D1090" s="31" t="s">
        <x:v>1341</x:v>
      </x:c>
    </x:row>
    <x:row r="1091" ht="43.5" hidden="0" customHeight="1">
      <x:c r="B1091" s="32" t="s">
        <x:v>374</x:v>
      </x:c>
      <x:c r="C1091" s="32" t="s">
        <x:v>501</x:v>
      </x:c>
      <x:c r="D1091" s="32" t="s">
        <x:v>1336</x:v>
      </x:c>
    </x:row>
    <x:row r="1092" ht="186" hidden="0" customHeight="1">
      <x:c r="B1092" s="31" t="s">
        <x:v>374</x:v>
      </x:c>
      <x:c r="C1092" s="31" t="s">
        <x:v>503</x:v>
      </x:c>
      <x:c r="D1092" s="31" t="s">
        <x:v>1342</x:v>
      </x:c>
    </x:row>
    <x:row r="1093" ht="157.5" hidden="0" customHeight="1">
      <x:c r="B1093" s="32" t="s">
        <x:v>374</x:v>
      </x:c>
      <x:c r="C1093" s="32" t="s">
        <x:v>505</x:v>
      </x:c>
      <x:c r="D1093" s="32" t="s">
        <x:v>1343</x:v>
      </x:c>
    </x:row>
    <x:row r="1094" ht="157.5" hidden="0" customHeight="1">
      <x:c r="B1094" s="32" t="s">
        <x:v>374</x:v>
      </x:c>
      <x:c r="C1094" s="32" t="s">
        <x:v>507</x:v>
      </x:c>
      <x:c r="D1094" s="32" t="s">
        <x:v>1344</x:v>
      </x:c>
    </x:row>
    <x:row r="1095" ht="90" hidden="0" customHeight="1">
      <x:c r="B1095" s="32" t="s">
        <x:v>374</x:v>
      </x:c>
      <x:c r="C1095" s="32" t="s">
        <x:v>517</x:v>
      </x:c>
      <x:c r="D1095" s="32" t="s">
        <x:v>1345</x:v>
      </x:c>
    </x:row>
    <x:row r="1096" ht="57.75" hidden="0" customHeight="1">
      <x:c r="B1096" s="31" t="s">
        <x:v>374</x:v>
      </x:c>
      <x:c r="C1096" s="31" t="s">
        <x:v>509</x:v>
      </x:c>
      <x:c r="D1096" s="31" t="s">
        <x:v>633</x:v>
      </x:c>
    </x:row>
    <x:row r="1097" ht="43.5" hidden="0" customHeight="1">
      <x:c r="B1097" s="30" t="s">
        <x:v>376</x:v>
      </x:c>
      <x:c r="C1097" s="30" t="s">
        <x:v>497</x:v>
      </x:c>
      <x:c r="D1097" s="30" t="s">
        <x:v>1346</x:v>
      </x:c>
    </x:row>
    <x:row r="1098" ht="114.75" hidden="0" customHeight="1">
      <x:c r="B1098" s="31" t="s">
        <x:v>376</x:v>
      </x:c>
      <x:c r="C1098" s="31" t="s">
        <x:v>499</x:v>
      </x:c>
      <x:c r="D1098" s="31" t="s">
        <x:v>1347</x:v>
      </x:c>
    </x:row>
    <x:row r="1099" ht="43.5" hidden="0" customHeight="1">
      <x:c r="B1099" s="32" t="s">
        <x:v>376</x:v>
      </x:c>
      <x:c r="C1099" s="32" t="s">
        <x:v>501</x:v>
      </x:c>
      <x:c r="D1099" s="32" t="s">
        <x:v>1336</x:v>
      </x:c>
    </x:row>
    <x:row r="1100" ht="186" hidden="0" customHeight="1">
      <x:c r="B1100" s="31" t="s">
        <x:v>376</x:v>
      </x:c>
      <x:c r="C1100" s="31" t="s">
        <x:v>503</x:v>
      </x:c>
      <x:c r="D1100" s="31" t="s">
        <x:v>1348</x:v>
      </x:c>
    </x:row>
    <x:row r="1101" ht="129" hidden="0" customHeight="1">
      <x:c r="B1101" s="32" t="s">
        <x:v>376</x:v>
      </x:c>
      <x:c r="C1101" s="32" t="s">
        <x:v>505</x:v>
      </x:c>
      <x:c r="D1101" s="32" t="s">
        <x:v>1349</x:v>
      </x:c>
    </x:row>
    <x:row r="1102" ht="129" hidden="0" customHeight="1">
      <x:c r="B1102" s="32" t="s">
        <x:v>376</x:v>
      </x:c>
      <x:c r="C1102" s="32" t="s">
        <x:v>507</x:v>
      </x:c>
      <x:c r="D1102" s="32" t="s">
        <x:v>1350</x:v>
      </x:c>
    </x:row>
    <x:row r="1103" ht="43.5" hidden="0" customHeight="1">
      <x:c r="B1103" s="31" t="s">
        <x:v>376</x:v>
      </x:c>
      <x:c r="C1103" s="31" t="s">
        <x:v>509</x:v>
      </x:c>
      <x:c r="D1103" s="31" t="s">
        <x:v>639</x:v>
      </x:c>
    </x:row>
    <x:row r="1104" ht="34.5" hidden="0" customHeight="1">
      <x:c r="B1104" s="30" t="s">
        <x:v>378</x:v>
      </x:c>
      <x:c r="C1104" s="30" t="s">
        <x:v>497</x:v>
      </x:c>
      <x:c r="D1104" s="30" t="s">
        <x:v>1351</x:v>
      </x:c>
    </x:row>
    <x:row r="1105" ht="57.75" hidden="0" customHeight="1">
      <x:c r="B1105" s="31" t="s">
        <x:v>378</x:v>
      </x:c>
      <x:c r="C1105" s="31" t="s">
        <x:v>499</x:v>
      </x:c>
      <x:c r="D1105" s="31" t="s">
        <x:v>1352</x:v>
      </x:c>
    </x:row>
    <x:row r="1106" ht="43.5" hidden="0" customHeight="1">
      <x:c r="B1106" s="32" t="s">
        <x:v>378</x:v>
      </x:c>
      <x:c r="C1106" s="32" t="s">
        <x:v>501</x:v>
      </x:c>
      <x:c r="D1106" s="32" t="s">
        <x:v>1336</x:v>
      </x:c>
    </x:row>
    <x:row r="1107" ht="129" hidden="0" customHeight="1">
      <x:c r="B1107" s="31" t="s">
        <x:v>378</x:v>
      </x:c>
      <x:c r="C1107" s="31" t="s">
        <x:v>503</x:v>
      </x:c>
      <x:c r="D1107" s="31" t="s">
        <x:v>1353</x:v>
      </x:c>
    </x:row>
    <x:row r="1108" ht="72" hidden="0" customHeight="1">
      <x:c r="B1108" s="32" t="s">
        <x:v>378</x:v>
      </x:c>
      <x:c r="C1108" s="32" t="s">
        <x:v>505</x:v>
      </x:c>
      <x:c r="D1108" s="32" t="s">
        <x:v>1354</x:v>
      </x:c>
    </x:row>
    <x:row r="1109" ht="72" hidden="0" customHeight="1">
      <x:c r="B1109" s="32" t="s">
        <x:v>378</x:v>
      </x:c>
      <x:c r="C1109" s="32" t="s">
        <x:v>507</x:v>
      </x:c>
      <x:c r="D1109" s="32" t="s">
        <x:v>1355</x:v>
      </x:c>
    </x:row>
    <x:row r="1110" ht="43.5" hidden="0" customHeight="1">
      <x:c r="B1110" s="31" t="s">
        <x:v>378</x:v>
      </x:c>
      <x:c r="C1110" s="31" t="s">
        <x:v>509</x:v>
      </x:c>
      <x:c r="D1110" s="31" t="s">
        <x:v>644</x:v>
      </x:c>
    </x:row>
    <x:row r="1111" ht="34.5" hidden="0" customHeight="1">
      <x:c r="B1111" s="30" t="s">
        <x:v>380</x:v>
      </x:c>
      <x:c r="C1111" s="30" t="s">
        <x:v>497</x:v>
      </x:c>
      <x:c r="D1111" s="30" t="s">
        <x:v>381</x:v>
      </x:c>
    </x:row>
    <x:row r="1112" ht="114.75" hidden="0" customHeight="1">
      <x:c r="B1112" s="31" t="s">
        <x:v>380</x:v>
      </x:c>
      <x:c r="C1112" s="31" t="s">
        <x:v>499</x:v>
      </x:c>
      <x:c r="D1112" s="31" t="s">
        <x:v>1356</x:v>
      </x:c>
    </x:row>
    <x:row r="1113" ht="57.75" hidden="0" customHeight="1">
      <x:c r="B1113" s="32" t="s">
        <x:v>380</x:v>
      </x:c>
      <x:c r="C1113" s="32" t="s">
        <x:v>501</x:v>
      </x:c>
      <x:c r="D1113" s="32" t="s">
        <x:v>1357</x:v>
      </x:c>
    </x:row>
    <x:row r="1114" ht="157.5" hidden="0" customHeight="1">
      <x:c r="B1114" s="31" t="s">
        <x:v>380</x:v>
      </x:c>
      <x:c r="C1114" s="31" t="s">
        <x:v>503</x:v>
      </x:c>
      <x:c r="D1114" s="31" t="s">
        <x:v>1358</x:v>
      </x:c>
    </x:row>
    <x:row r="1115" ht="100.5" hidden="0" customHeight="1">
      <x:c r="B1115" s="32" t="s">
        <x:v>380</x:v>
      </x:c>
      <x:c r="C1115" s="32" t="s">
        <x:v>505</x:v>
      </x:c>
      <x:c r="D1115" s="32" t="s">
        <x:v>1359</x:v>
      </x:c>
    </x:row>
    <x:row r="1116" ht="100.5" hidden="0" customHeight="1">
      <x:c r="B1116" s="32" t="s">
        <x:v>380</x:v>
      </x:c>
      <x:c r="C1116" s="32" t="s">
        <x:v>507</x:v>
      </x:c>
      <x:c r="D1116" s="32" t="s">
        <x:v>1360</x:v>
      </x:c>
    </x:row>
    <x:row r="1117" ht="43.5" hidden="0" customHeight="1">
      <x:c r="B1117" s="31" t="s">
        <x:v>380</x:v>
      </x:c>
      <x:c r="C1117" s="31" t="s">
        <x:v>509</x:v>
      </x:c>
      <x:c r="D1117" s="31" t="s">
        <x:v>626</x:v>
      </x:c>
    </x:row>
    <x:row r="1118" ht="43.5" hidden="0" customHeight="1">
      <x:c r="B1118" s="30" t="s">
        <x:v>382</x:v>
      </x:c>
      <x:c r="C1118" s="30" t="s">
        <x:v>497</x:v>
      </x:c>
      <x:c r="D1118" s="30" t="s">
        <x:v>1361</x:v>
      </x:c>
    </x:row>
    <x:row r="1119" ht="100.5" hidden="0" customHeight="1">
      <x:c r="B1119" s="31" t="s">
        <x:v>382</x:v>
      </x:c>
      <x:c r="C1119" s="31" t="s">
        <x:v>499</x:v>
      </x:c>
      <x:c r="D1119" s="31" t="s">
        <x:v>1362</x:v>
      </x:c>
    </x:row>
    <x:row r="1120" ht="57.75" hidden="0" customHeight="1">
      <x:c r="B1120" s="32" t="s">
        <x:v>382</x:v>
      </x:c>
      <x:c r="C1120" s="32" t="s">
        <x:v>501</x:v>
      </x:c>
      <x:c r="D1120" s="32" t="s">
        <x:v>1357</x:v>
      </x:c>
    </x:row>
    <x:row r="1121" ht="171.75" hidden="0" customHeight="1">
      <x:c r="B1121" s="31" t="s">
        <x:v>382</x:v>
      </x:c>
      <x:c r="C1121" s="31" t="s">
        <x:v>503</x:v>
      </x:c>
      <x:c r="D1121" s="31" t="s">
        <x:v>1363</x:v>
      </x:c>
    </x:row>
    <x:row r="1122" ht="143.25" hidden="0" customHeight="1">
      <x:c r="B1122" s="32" t="s">
        <x:v>382</x:v>
      </x:c>
      <x:c r="C1122" s="32" t="s">
        <x:v>505</x:v>
      </x:c>
      <x:c r="D1122" s="32" t="s">
        <x:v>1364</x:v>
      </x:c>
    </x:row>
    <x:row r="1123" ht="143.25" hidden="0" customHeight="1">
      <x:c r="B1123" s="32" t="s">
        <x:v>382</x:v>
      </x:c>
      <x:c r="C1123" s="32" t="s">
        <x:v>507</x:v>
      </x:c>
      <x:c r="D1123" s="32" t="s">
        <x:v>1365</x:v>
      </x:c>
    </x:row>
    <x:row r="1124" ht="90" hidden="0" customHeight="1">
      <x:c r="B1124" s="32" t="s">
        <x:v>382</x:v>
      </x:c>
      <x:c r="C1124" s="32" t="s">
        <x:v>517</x:v>
      </x:c>
      <x:c r="D1124" s="32" t="s">
        <x:v>1366</x:v>
      </x:c>
    </x:row>
    <x:row r="1125" ht="57.75" hidden="0" customHeight="1">
      <x:c r="B1125" s="31" t="s">
        <x:v>382</x:v>
      </x:c>
      <x:c r="C1125" s="31" t="s">
        <x:v>509</x:v>
      </x:c>
      <x:c r="D1125" s="31" t="s">
        <x:v>633</x:v>
      </x:c>
    </x:row>
    <x:row r="1126" ht="43.5" hidden="0" customHeight="1">
      <x:c r="B1126" s="30" t="s">
        <x:v>384</x:v>
      </x:c>
      <x:c r="C1126" s="30" t="s">
        <x:v>497</x:v>
      </x:c>
      <x:c r="D1126" s="30" t="s">
        <x:v>1367</x:v>
      </x:c>
    </x:row>
    <x:row r="1127" ht="114.75" hidden="0" customHeight="1">
      <x:c r="B1127" s="31" t="s">
        <x:v>384</x:v>
      </x:c>
      <x:c r="C1127" s="31" t="s">
        <x:v>499</x:v>
      </x:c>
      <x:c r="D1127" s="31" t="s">
        <x:v>1368</x:v>
      </x:c>
    </x:row>
    <x:row r="1128" ht="57.75" hidden="0" customHeight="1">
      <x:c r="B1128" s="32" t="s">
        <x:v>384</x:v>
      </x:c>
      <x:c r="C1128" s="32" t="s">
        <x:v>501</x:v>
      </x:c>
      <x:c r="D1128" s="32" t="s">
        <x:v>1357</x:v>
      </x:c>
    </x:row>
    <x:row r="1129" ht="186" hidden="0" customHeight="1">
      <x:c r="B1129" s="31" t="s">
        <x:v>384</x:v>
      </x:c>
      <x:c r="C1129" s="31" t="s">
        <x:v>503</x:v>
      </x:c>
      <x:c r="D1129" s="31" t="s">
        <x:v>1369</x:v>
      </x:c>
    </x:row>
    <x:row r="1130" ht="129" hidden="0" customHeight="1">
      <x:c r="B1130" s="32" t="s">
        <x:v>384</x:v>
      </x:c>
      <x:c r="C1130" s="32" t="s">
        <x:v>505</x:v>
      </x:c>
      <x:c r="D1130" s="32" t="s">
        <x:v>1370</x:v>
      </x:c>
    </x:row>
    <x:row r="1131" ht="129" hidden="0" customHeight="1">
      <x:c r="B1131" s="32" t="s">
        <x:v>384</x:v>
      </x:c>
      <x:c r="C1131" s="32" t="s">
        <x:v>507</x:v>
      </x:c>
      <x:c r="D1131" s="32" t="s">
        <x:v>1371</x:v>
      </x:c>
    </x:row>
    <x:row r="1132" ht="43.5" hidden="0" customHeight="1">
      <x:c r="B1132" s="31" t="s">
        <x:v>384</x:v>
      </x:c>
      <x:c r="C1132" s="31" t="s">
        <x:v>509</x:v>
      </x:c>
      <x:c r="D1132" s="31" t="s">
        <x:v>639</x:v>
      </x:c>
    </x:row>
    <x:row r="1133" ht="34.5" hidden="0" customHeight="1">
      <x:c r="B1133" s="30" t="s">
        <x:v>386</x:v>
      </x:c>
      <x:c r="C1133" s="30" t="s">
        <x:v>497</x:v>
      </x:c>
      <x:c r="D1133" s="30" t="s">
        <x:v>387</x:v>
      </x:c>
    </x:row>
    <x:row r="1134" ht="57.75" hidden="0" customHeight="1">
      <x:c r="B1134" s="31" t="s">
        <x:v>386</x:v>
      </x:c>
      <x:c r="C1134" s="31" t="s">
        <x:v>499</x:v>
      </x:c>
      <x:c r="D1134" s="31" t="s">
        <x:v>1372</x:v>
      </x:c>
    </x:row>
    <x:row r="1135" ht="57.75" hidden="0" customHeight="1">
      <x:c r="B1135" s="32" t="s">
        <x:v>386</x:v>
      </x:c>
      <x:c r="C1135" s="32" t="s">
        <x:v>501</x:v>
      </x:c>
      <x:c r="D1135" s="32" t="s">
        <x:v>1357</x:v>
      </x:c>
    </x:row>
    <x:row r="1136" ht="129" hidden="0" customHeight="1">
      <x:c r="B1136" s="31" t="s">
        <x:v>386</x:v>
      </x:c>
      <x:c r="C1136" s="31" t="s">
        <x:v>503</x:v>
      </x:c>
      <x:c r="D1136" s="31" t="s">
        <x:v>1373</x:v>
      </x:c>
    </x:row>
    <x:row r="1137" ht="72" hidden="0" customHeight="1">
      <x:c r="B1137" s="32" t="s">
        <x:v>386</x:v>
      </x:c>
      <x:c r="C1137" s="32" t="s">
        <x:v>505</x:v>
      </x:c>
      <x:c r="D1137" s="32" t="s">
        <x:v>1374</x:v>
      </x:c>
    </x:row>
    <x:row r="1138" ht="72" hidden="0" customHeight="1">
      <x:c r="B1138" s="32" t="s">
        <x:v>386</x:v>
      </x:c>
      <x:c r="C1138" s="32" t="s">
        <x:v>507</x:v>
      </x:c>
      <x:c r="D1138" s="32" t="s">
        <x:v>1375</x:v>
      </x:c>
    </x:row>
    <x:row r="1139" ht="43.5" hidden="0" customHeight="1">
      <x:c r="B1139" s="31" t="s">
        <x:v>386</x:v>
      </x:c>
      <x:c r="C1139" s="31" t="s">
        <x:v>509</x:v>
      </x:c>
      <x:c r="D1139" s="31" t="s">
        <x:v>644</x:v>
      </x:c>
    </x:row>
    <x:row r="1140" ht="34.5" hidden="0" customHeight="1">
      <x:c r="B1140" s="30" t="s">
        <x:v>388</x:v>
      </x:c>
      <x:c r="C1140" s="30" t="s">
        <x:v>497</x:v>
      </x:c>
      <x:c r="D1140" s="30" t="s">
        <x:v>389</x:v>
      </x:c>
    </x:row>
    <x:row r="1141" ht="129" hidden="0" customHeight="1">
      <x:c r="B1141" s="31" t="s">
        <x:v>388</x:v>
      </x:c>
      <x:c r="C1141" s="31" t="s">
        <x:v>499</x:v>
      </x:c>
      <x:c r="D1141" s="31" t="s">
        <x:v>1376</x:v>
      </x:c>
    </x:row>
    <x:row r="1142" ht="43.5" hidden="0" customHeight="1">
      <x:c r="B1142" s="32" t="s">
        <x:v>388</x:v>
      </x:c>
      <x:c r="C1142" s="32" t="s">
        <x:v>501</x:v>
      </x:c>
      <x:c r="D1142" s="32" t="s">
        <x:v>1377</x:v>
      </x:c>
    </x:row>
    <x:row r="1143" ht="171.75" hidden="0" customHeight="1">
      <x:c r="B1143" s="31" t="s">
        <x:v>388</x:v>
      </x:c>
      <x:c r="C1143" s="31" t="s">
        <x:v>503</x:v>
      </x:c>
      <x:c r="D1143" s="31" t="s">
        <x:v>1378</x:v>
      </x:c>
    </x:row>
    <x:row r="1144" ht="114.75" hidden="0" customHeight="1">
      <x:c r="B1144" s="32" t="s">
        <x:v>388</x:v>
      </x:c>
      <x:c r="C1144" s="32" t="s">
        <x:v>505</x:v>
      </x:c>
      <x:c r="D1144" s="32" t="s">
        <x:v>1379</x:v>
      </x:c>
    </x:row>
    <x:row r="1145" ht="114.75" hidden="0" customHeight="1">
      <x:c r="B1145" s="32" t="s">
        <x:v>388</x:v>
      </x:c>
      <x:c r="C1145" s="32" t="s">
        <x:v>507</x:v>
      </x:c>
      <x:c r="D1145" s="32" t="s">
        <x:v>1380</x:v>
      </x:c>
    </x:row>
    <x:row r="1146" ht="43.5" hidden="0" customHeight="1">
      <x:c r="B1146" s="31" t="s">
        <x:v>388</x:v>
      </x:c>
      <x:c r="C1146" s="31" t="s">
        <x:v>509</x:v>
      </x:c>
      <x:c r="D1146" s="31" t="s">
        <x:v>626</x:v>
      </x:c>
    </x:row>
    <x:row r="1147" ht="43.5" hidden="0" customHeight="1">
      <x:c r="B1147" s="30" t="s">
        <x:v>390</x:v>
      </x:c>
      <x:c r="C1147" s="30" t="s">
        <x:v>497</x:v>
      </x:c>
      <x:c r="D1147" s="30" t="s">
        <x:v>1381</x:v>
      </x:c>
    </x:row>
    <x:row r="1148" ht="114.75" hidden="0" customHeight="1">
      <x:c r="B1148" s="31" t="s">
        <x:v>390</x:v>
      </x:c>
      <x:c r="C1148" s="31" t="s">
        <x:v>499</x:v>
      </x:c>
      <x:c r="D1148" s="31" t="s">
        <x:v>1382</x:v>
      </x:c>
    </x:row>
    <x:row r="1149" ht="43.5" hidden="0" customHeight="1">
      <x:c r="B1149" s="32" t="s">
        <x:v>390</x:v>
      </x:c>
      <x:c r="C1149" s="32" t="s">
        <x:v>501</x:v>
      </x:c>
      <x:c r="D1149" s="32" t="s">
        <x:v>1377</x:v>
      </x:c>
    </x:row>
    <x:row r="1150" ht="186" hidden="0" customHeight="1">
      <x:c r="B1150" s="31" t="s">
        <x:v>390</x:v>
      </x:c>
      <x:c r="C1150" s="31" t="s">
        <x:v>503</x:v>
      </x:c>
      <x:c r="D1150" s="31" t="s">
        <x:v>1383</x:v>
      </x:c>
    </x:row>
    <x:row r="1151" ht="157.5" hidden="0" customHeight="1">
      <x:c r="B1151" s="32" t="s">
        <x:v>390</x:v>
      </x:c>
      <x:c r="C1151" s="32" t="s">
        <x:v>505</x:v>
      </x:c>
      <x:c r="D1151" s="32" t="s">
        <x:v>1384</x:v>
      </x:c>
    </x:row>
    <x:row r="1152" ht="157.5" hidden="0" customHeight="1">
      <x:c r="B1152" s="32" t="s">
        <x:v>390</x:v>
      </x:c>
      <x:c r="C1152" s="32" t="s">
        <x:v>507</x:v>
      </x:c>
      <x:c r="D1152" s="32" t="s">
        <x:v>1385</x:v>
      </x:c>
    </x:row>
    <x:row r="1153" ht="90" hidden="0" customHeight="1">
      <x:c r="B1153" s="32" t="s">
        <x:v>390</x:v>
      </x:c>
      <x:c r="C1153" s="32" t="s">
        <x:v>517</x:v>
      </x:c>
      <x:c r="D1153" s="32" t="s">
        <x:v>1386</x:v>
      </x:c>
    </x:row>
    <x:row r="1154" ht="57.75" hidden="0" customHeight="1">
      <x:c r="B1154" s="31" t="s">
        <x:v>390</x:v>
      </x:c>
      <x:c r="C1154" s="31" t="s">
        <x:v>509</x:v>
      </x:c>
      <x:c r="D1154" s="31" t="s">
        <x:v>633</x:v>
      </x:c>
    </x:row>
    <x:row r="1155" ht="43.5" hidden="0" customHeight="1">
      <x:c r="B1155" s="30" t="s">
        <x:v>392</x:v>
      </x:c>
      <x:c r="C1155" s="30" t="s">
        <x:v>497</x:v>
      </x:c>
      <x:c r="D1155" s="30" t="s">
        <x:v>1387</x:v>
      </x:c>
    </x:row>
    <x:row r="1156" ht="114.75" hidden="0" customHeight="1">
      <x:c r="B1156" s="31" t="s">
        <x:v>392</x:v>
      </x:c>
      <x:c r="C1156" s="31" t="s">
        <x:v>499</x:v>
      </x:c>
      <x:c r="D1156" s="31" t="s">
        <x:v>1388</x:v>
      </x:c>
    </x:row>
    <x:row r="1157" ht="43.5" hidden="0" customHeight="1">
      <x:c r="B1157" s="32" t="s">
        <x:v>392</x:v>
      </x:c>
      <x:c r="C1157" s="32" t="s">
        <x:v>501</x:v>
      </x:c>
      <x:c r="D1157" s="32" t="s">
        <x:v>1377</x:v>
      </x:c>
    </x:row>
    <x:row r="1158" ht="186" hidden="0" customHeight="1">
      <x:c r="B1158" s="31" t="s">
        <x:v>392</x:v>
      </x:c>
      <x:c r="C1158" s="31" t="s">
        <x:v>503</x:v>
      </x:c>
      <x:c r="D1158" s="31" t="s">
        <x:v>1389</x:v>
      </x:c>
    </x:row>
    <x:row r="1159" ht="129" hidden="0" customHeight="1">
      <x:c r="B1159" s="32" t="s">
        <x:v>392</x:v>
      </x:c>
      <x:c r="C1159" s="32" t="s">
        <x:v>505</x:v>
      </x:c>
      <x:c r="D1159" s="32" t="s">
        <x:v>1390</x:v>
      </x:c>
    </x:row>
    <x:row r="1160" ht="129" hidden="0" customHeight="1">
      <x:c r="B1160" s="32" t="s">
        <x:v>392</x:v>
      </x:c>
      <x:c r="C1160" s="32" t="s">
        <x:v>507</x:v>
      </x:c>
      <x:c r="D1160" s="32" t="s">
        <x:v>1391</x:v>
      </x:c>
    </x:row>
    <x:row r="1161" ht="43.5" hidden="0" customHeight="1">
      <x:c r="B1161" s="31" t="s">
        <x:v>392</x:v>
      </x:c>
      <x:c r="C1161" s="31" t="s">
        <x:v>509</x:v>
      </x:c>
      <x:c r="D1161" s="31" t="s">
        <x:v>639</x:v>
      </x:c>
    </x:row>
    <x:row r="1162" ht="43.5" hidden="0" customHeight="1">
      <x:c r="B1162" s="30" t="s">
        <x:v>394</x:v>
      </x:c>
      <x:c r="C1162" s="30" t="s">
        <x:v>497</x:v>
      </x:c>
      <x:c r="D1162" s="30" t="s">
        <x:v>1392</x:v>
      </x:c>
    </x:row>
    <x:row r="1163" ht="72" hidden="0" customHeight="1">
      <x:c r="B1163" s="31" t="s">
        <x:v>394</x:v>
      </x:c>
      <x:c r="C1163" s="31" t="s">
        <x:v>499</x:v>
      </x:c>
      <x:c r="D1163" s="31" t="s">
        <x:v>1393</x:v>
      </x:c>
    </x:row>
    <x:row r="1164" ht="43.5" hidden="0" customHeight="1">
      <x:c r="B1164" s="32" t="s">
        <x:v>394</x:v>
      </x:c>
      <x:c r="C1164" s="32" t="s">
        <x:v>501</x:v>
      </x:c>
      <x:c r="D1164" s="32" t="s">
        <x:v>1377</x:v>
      </x:c>
    </x:row>
    <x:row r="1165" ht="129" hidden="0" customHeight="1">
      <x:c r="B1165" s="31" t="s">
        <x:v>394</x:v>
      </x:c>
      <x:c r="C1165" s="31" t="s">
        <x:v>503</x:v>
      </x:c>
      <x:c r="D1165" s="31" t="s">
        <x:v>1394</x:v>
      </x:c>
    </x:row>
    <x:row r="1166" ht="72" hidden="0" customHeight="1">
      <x:c r="B1166" s="32" t="s">
        <x:v>394</x:v>
      </x:c>
      <x:c r="C1166" s="32" t="s">
        <x:v>505</x:v>
      </x:c>
      <x:c r="D1166" s="32" t="s">
        <x:v>1395</x:v>
      </x:c>
    </x:row>
    <x:row r="1167" ht="72" hidden="0" customHeight="1">
      <x:c r="B1167" s="32" t="s">
        <x:v>394</x:v>
      </x:c>
      <x:c r="C1167" s="32" t="s">
        <x:v>507</x:v>
      </x:c>
      <x:c r="D1167" s="32" t="s">
        <x:v>1396</x:v>
      </x:c>
    </x:row>
    <x:row r="1168" ht="43.5" hidden="0" customHeight="1">
      <x:c r="B1168" s="31" t="s">
        <x:v>394</x:v>
      </x:c>
      <x:c r="C1168" s="31" t="s">
        <x:v>509</x:v>
      </x:c>
      <x:c r="D1168" s="31" t="s">
        <x:v>711</x:v>
      </x:c>
    </x:row>
    <x:row r="1169" ht="34.5" hidden="0" customHeight="1">
      <x:c r="B1169" s="30" t="s">
        <x:v>396</x:v>
      </x:c>
      <x:c r="C1169" s="30" t="s">
        <x:v>497</x:v>
      </x:c>
      <x:c r="D1169" s="30" t="s">
        <x:v>1397</x:v>
      </x:c>
    </x:row>
    <x:row r="1170" ht="129" hidden="0" customHeight="1">
      <x:c r="B1170" s="31" t="s">
        <x:v>396</x:v>
      </x:c>
      <x:c r="C1170" s="31" t="s">
        <x:v>499</x:v>
      </x:c>
      <x:c r="D1170" s="31" t="s">
        <x:v>1398</x:v>
      </x:c>
    </x:row>
    <x:row r="1171" ht="57.75" hidden="0" customHeight="1">
      <x:c r="B1171" s="32" t="s">
        <x:v>396</x:v>
      </x:c>
      <x:c r="C1171" s="32" t="s">
        <x:v>501</x:v>
      </x:c>
      <x:c r="D1171" s="32" t="s">
        <x:v>1399</x:v>
      </x:c>
    </x:row>
    <x:row r="1172" ht="171.75" hidden="0" customHeight="1">
      <x:c r="B1172" s="31" t="s">
        <x:v>396</x:v>
      </x:c>
      <x:c r="C1172" s="31" t="s">
        <x:v>503</x:v>
      </x:c>
      <x:c r="D1172" s="31" t="s">
        <x:v>1400</x:v>
      </x:c>
    </x:row>
    <x:row r="1173" ht="100.5" hidden="0" customHeight="1">
      <x:c r="B1173" s="32" t="s">
        <x:v>396</x:v>
      </x:c>
      <x:c r="C1173" s="32" t="s">
        <x:v>505</x:v>
      </x:c>
      <x:c r="D1173" s="32" t="s">
        <x:v>1401</x:v>
      </x:c>
    </x:row>
    <x:row r="1174" ht="100.5" hidden="0" customHeight="1">
      <x:c r="B1174" s="32" t="s">
        <x:v>396</x:v>
      </x:c>
      <x:c r="C1174" s="32" t="s">
        <x:v>507</x:v>
      </x:c>
      <x:c r="D1174" s="32" t="s">
        <x:v>1402</x:v>
      </x:c>
    </x:row>
    <x:row r="1175" ht="43.5" hidden="0" customHeight="1">
      <x:c r="B1175" s="31" t="s">
        <x:v>396</x:v>
      </x:c>
      <x:c r="C1175" s="31" t="s">
        <x:v>509</x:v>
      </x:c>
      <x:c r="D1175" s="31" t="s">
        <x:v>626</x:v>
      </x:c>
    </x:row>
    <x:row r="1176" ht="43.5" hidden="0" customHeight="1">
      <x:c r="B1176" s="30" t="s">
        <x:v>398</x:v>
      </x:c>
      <x:c r="C1176" s="30" t="s">
        <x:v>497</x:v>
      </x:c>
      <x:c r="D1176" s="30" t="s">
        <x:v>1403</x:v>
      </x:c>
    </x:row>
    <x:row r="1177" ht="114.75" hidden="0" customHeight="1">
      <x:c r="B1177" s="31" t="s">
        <x:v>398</x:v>
      </x:c>
      <x:c r="C1177" s="31" t="s">
        <x:v>499</x:v>
      </x:c>
      <x:c r="D1177" s="31" t="s">
        <x:v>1404</x:v>
      </x:c>
    </x:row>
    <x:row r="1178" ht="57.75" hidden="0" customHeight="1">
      <x:c r="B1178" s="32" t="s">
        <x:v>398</x:v>
      </x:c>
      <x:c r="C1178" s="32" t="s">
        <x:v>501</x:v>
      </x:c>
      <x:c r="D1178" s="32" t="s">
        <x:v>1399</x:v>
      </x:c>
    </x:row>
    <x:row r="1179" ht="186" hidden="0" customHeight="1">
      <x:c r="B1179" s="31" t="s">
        <x:v>398</x:v>
      </x:c>
      <x:c r="C1179" s="31" t="s">
        <x:v>503</x:v>
      </x:c>
      <x:c r="D1179" s="31" t="s">
        <x:v>1405</x:v>
      </x:c>
    </x:row>
    <x:row r="1180" ht="157.5" hidden="0" customHeight="1">
      <x:c r="B1180" s="32" t="s">
        <x:v>398</x:v>
      </x:c>
      <x:c r="C1180" s="32" t="s">
        <x:v>505</x:v>
      </x:c>
      <x:c r="D1180" s="32" t="s">
        <x:v>1406</x:v>
      </x:c>
    </x:row>
    <x:row r="1181" ht="157.5" hidden="0" customHeight="1">
      <x:c r="B1181" s="32" t="s">
        <x:v>398</x:v>
      </x:c>
      <x:c r="C1181" s="32" t="s">
        <x:v>507</x:v>
      </x:c>
      <x:c r="D1181" s="32" t="s">
        <x:v>1407</x:v>
      </x:c>
    </x:row>
    <x:row r="1182" ht="90" hidden="0" customHeight="1">
      <x:c r="B1182" s="32" t="s">
        <x:v>398</x:v>
      </x:c>
      <x:c r="C1182" s="32" t="s">
        <x:v>517</x:v>
      </x:c>
      <x:c r="D1182" s="32" t="s">
        <x:v>1408</x:v>
      </x:c>
    </x:row>
    <x:row r="1183" ht="57.75" hidden="0" customHeight="1">
      <x:c r="B1183" s="31" t="s">
        <x:v>398</x:v>
      </x:c>
      <x:c r="C1183" s="31" t="s">
        <x:v>509</x:v>
      </x:c>
      <x:c r="D1183" s="31" t="s">
        <x:v>633</x:v>
      </x:c>
    </x:row>
    <x:row r="1184" ht="43.5" hidden="0" customHeight="1">
      <x:c r="B1184" s="30" t="s">
        <x:v>400</x:v>
      </x:c>
      <x:c r="C1184" s="30" t="s">
        <x:v>497</x:v>
      </x:c>
      <x:c r="D1184" s="30" t="s">
        <x:v>1409</x:v>
      </x:c>
    </x:row>
    <x:row r="1185" ht="114.75" hidden="0" customHeight="1">
      <x:c r="B1185" s="31" t="s">
        <x:v>400</x:v>
      </x:c>
      <x:c r="C1185" s="31" t="s">
        <x:v>499</x:v>
      </x:c>
      <x:c r="D1185" s="31" t="s">
        <x:v>1410</x:v>
      </x:c>
    </x:row>
    <x:row r="1186" ht="57.75" hidden="0" customHeight="1">
      <x:c r="B1186" s="32" t="s">
        <x:v>400</x:v>
      </x:c>
      <x:c r="C1186" s="32" t="s">
        <x:v>501</x:v>
      </x:c>
      <x:c r="D1186" s="32" t="s">
        <x:v>1399</x:v>
      </x:c>
    </x:row>
    <x:row r="1187" ht="186" hidden="0" customHeight="1">
      <x:c r="B1187" s="31" t="s">
        <x:v>400</x:v>
      </x:c>
      <x:c r="C1187" s="31" t="s">
        <x:v>503</x:v>
      </x:c>
      <x:c r="D1187" s="31" t="s">
        <x:v>1411</x:v>
      </x:c>
    </x:row>
    <x:row r="1188" ht="129" hidden="0" customHeight="1">
      <x:c r="B1188" s="32" t="s">
        <x:v>400</x:v>
      </x:c>
      <x:c r="C1188" s="32" t="s">
        <x:v>505</x:v>
      </x:c>
      <x:c r="D1188" s="32" t="s">
        <x:v>1412</x:v>
      </x:c>
    </x:row>
    <x:row r="1189" ht="129" hidden="0" customHeight="1">
      <x:c r="B1189" s="32" t="s">
        <x:v>400</x:v>
      </x:c>
      <x:c r="C1189" s="32" t="s">
        <x:v>507</x:v>
      </x:c>
      <x:c r="D1189" s="32" t="s">
        <x:v>1413</x:v>
      </x:c>
    </x:row>
    <x:row r="1190" ht="43.5" hidden="0" customHeight="1">
      <x:c r="B1190" s="31" t="s">
        <x:v>400</x:v>
      </x:c>
      <x:c r="C1190" s="31" t="s">
        <x:v>509</x:v>
      </x:c>
      <x:c r="D1190" s="31" t="s">
        <x:v>639</x:v>
      </x:c>
    </x:row>
    <x:row r="1191" ht="34.5" hidden="0" customHeight="1">
      <x:c r="B1191" s="30" t="s">
        <x:v>402</x:v>
      </x:c>
      <x:c r="C1191" s="30" t="s">
        <x:v>497</x:v>
      </x:c>
      <x:c r="D1191" s="30" t="s">
        <x:v>1414</x:v>
      </x:c>
    </x:row>
    <x:row r="1192" ht="57.75" hidden="0" customHeight="1">
      <x:c r="B1192" s="31" t="s">
        <x:v>402</x:v>
      </x:c>
      <x:c r="C1192" s="31" t="s">
        <x:v>499</x:v>
      </x:c>
      <x:c r="D1192" s="31" t="s">
        <x:v>1415</x:v>
      </x:c>
    </x:row>
    <x:row r="1193" ht="57.75" hidden="0" customHeight="1">
      <x:c r="B1193" s="32" t="s">
        <x:v>402</x:v>
      </x:c>
      <x:c r="C1193" s="32" t="s">
        <x:v>501</x:v>
      </x:c>
      <x:c r="D1193" s="32" t="s">
        <x:v>1399</x:v>
      </x:c>
    </x:row>
    <x:row r="1194" ht="129" hidden="0" customHeight="1">
      <x:c r="B1194" s="31" t="s">
        <x:v>402</x:v>
      </x:c>
      <x:c r="C1194" s="31" t="s">
        <x:v>503</x:v>
      </x:c>
      <x:c r="D1194" s="31" t="s">
        <x:v>1416</x:v>
      </x:c>
    </x:row>
    <x:row r="1195" ht="72" hidden="0" customHeight="1">
      <x:c r="B1195" s="32" t="s">
        <x:v>402</x:v>
      </x:c>
      <x:c r="C1195" s="32" t="s">
        <x:v>505</x:v>
      </x:c>
      <x:c r="D1195" s="32" t="s">
        <x:v>1417</x:v>
      </x:c>
    </x:row>
    <x:row r="1196" ht="72" hidden="0" customHeight="1">
      <x:c r="B1196" s="32" t="s">
        <x:v>402</x:v>
      </x:c>
      <x:c r="C1196" s="32" t="s">
        <x:v>507</x:v>
      </x:c>
      <x:c r="D1196" s="32" t="s">
        <x:v>1418</x:v>
      </x:c>
    </x:row>
    <x:row r="1197" ht="43.5" hidden="0" customHeight="1">
      <x:c r="B1197" s="31" t="s">
        <x:v>402</x:v>
      </x:c>
      <x:c r="C1197" s="31" t="s">
        <x:v>509</x:v>
      </x:c>
      <x:c r="D1197" s="31" t="s">
        <x:v>644</x:v>
      </x:c>
    </x:row>
    <x:row r="1198" ht="34.5" hidden="0" customHeight="1">
      <x:c r="B1198" s="30" t="s">
        <x:v>404</x:v>
      </x:c>
      <x:c r="C1198" s="30" t="s">
        <x:v>497</x:v>
      </x:c>
      <x:c r="D1198" s="30" t="s">
        <x:v>1419</x:v>
      </x:c>
    </x:row>
    <x:row r="1199" ht="114.75" hidden="0" customHeight="1">
      <x:c r="B1199" s="31" t="s">
        <x:v>404</x:v>
      </x:c>
      <x:c r="C1199" s="31" t="s">
        <x:v>499</x:v>
      </x:c>
      <x:c r="D1199" s="31" t="s">
        <x:v>1420</x:v>
      </x:c>
    </x:row>
    <x:row r="1200" ht="57.75" hidden="0" customHeight="1">
      <x:c r="B1200" s="32" t="s">
        <x:v>404</x:v>
      </x:c>
      <x:c r="C1200" s="32" t="s">
        <x:v>501</x:v>
      </x:c>
      <x:c r="D1200" s="32" t="s">
        <x:v>1421</x:v>
      </x:c>
    </x:row>
    <x:row r="1201" ht="157.5" hidden="0" customHeight="1">
      <x:c r="B1201" s="31" t="s">
        <x:v>404</x:v>
      </x:c>
      <x:c r="C1201" s="31" t="s">
        <x:v>503</x:v>
      </x:c>
      <x:c r="D1201" s="31" t="s">
        <x:v>1422</x:v>
      </x:c>
    </x:row>
    <x:row r="1202" ht="114.75" hidden="0" customHeight="1">
      <x:c r="B1202" s="32" t="s">
        <x:v>404</x:v>
      </x:c>
      <x:c r="C1202" s="32" t="s">
        <x:v>505</x:v>
      </x:c>
      <x:c r="D1202" s="32" t="s">
        <x:v>1423</x:v>
      </x:c>
    </x:row>
    <x:row r="1203" ht="114.75" hidden="0" customHeight="1">
      <x:c r="B1203" s="32" t="s">
        <x:v>404</x:v>
      </x:c>
      <x:c r="C1203" s="32" t="s">
        <x:v>507</x:v>
      </x:c>
      <x:c r="D1203" s="32" t="s">
        <x:v>1424</x:v>
      </x:c>
    </x:row>
    <x:row r="1204" ht="43.5" hidden="0" customHeight="1">
      <x:c r="B1204" s="31" t="s">
        <x:v>404</x:v>
      </x:c>
      <x:c r="C1204" s="31" t="s">
        <x:v>509</x:v>
      </x:c>
      <x:c r="D1204" s="31" t="s">
        <x:v>626</x:v>
      </x:c>
    </x:row>
    <x:row r="1205" ht="43.5" hidden="0" customHeight="1">
      <x:c r="B1205" s="30" t="s">
        <x:v>406</x:v>
      </x:c>
      <x:c r="C1205" s="30" t="s">
        <x:v>497</x:v>
      </x:c>
      <x:c r="D1205" s="30" t="s">
        <x:v>1425</x:v>
      </x:c>
    </x:row>
    <x:row r="1206" ht="100.5" hidden="0" customHeight="1">
      <x:c r="B1206" s="31" t="s">
        <x:v>406</x:v>
      </x:c>
      <x:c r="C1206" s="31" t="s">
        <x:v>499</x:v>
      </x:c>
      <x:c r="D1206" s="31" t="s">
        <x:v>1426</x:v>
      </x:c>
    </x:row>
    <x:row r="1207" ht="57.75" hidden="0" customHeight="1">
      <x:c r="B1207" s="32" t="s">
        <x:v>406</x:v>
      </x:c>
      <x:c r="C1207" s="32" t="s">
        <x:v>501</x:v>
      </x:c>
      <x:c r="D1207" s="32" t="s">
        <x:v>1421</x:v>
      </x:c>
    </x:row>
    <x:row r="1208" ht="171.75" hidden="0" customHeight="1">
      <x:c r="B1208" s="31" t="s">
        <x:v>406</x:v>
      </x:c>
      <x:c r="C1208" s="31" t="s">
        <x:v>503</x:v>
      </x:c>
      <x:c r="D1208" s="31" t="s">
        <x:v>1427</x:v>
      </x:c>
    </x:row>
    <x:row r="1209" ht="143.25" hidden="0" customHeight="1">
      <x:c r="B1209" s="32" t="s">
        <x:v>406</x:v>
      </x:c>
      <x:c r="C1209" s="32" t="s">
        <x:v>505</x:v>
      </x:c>
      <x:c r="D1209" s="32" t="s">
        <x:v>1428</x:v>
      </x:c>
    </x:row>
    <x:row r="1210" ht="143.25" hidden="0" customHeight="1">
      <x:c r="B1210" s="32" t="s">
        <x:v>406</x:v>
      </x:c>
      <x:c r="C1210" s="32" t="s">
        <x:v>507</x:v>
      </x:c>
      <x:c r="D1210" s="32" t="s">
        <x:v>1429</x:v>
      </x:c>
    </x:row>
    <x:row r="1211" ht="90" hidden="0" customHeight="1">
      <x:c r="B1211" s="32" t="s">
        <x:v>406</x:v>
      </x:c>
      <x:c r="C1211" s="32" t="s">
        <x:v>517</x:v>
      </x:c>
      <x:c r="D1211" s="32" t="s">
        <x:v>1430</x:v>
      </x:c>
    </x:row>
    <x:row r="1212" ht="57.75" hidden="0" customHeight="1">
      <x:c r="B1212" s="31" t="s">
        <x:v>406</x:v>
      </x:c>
      <x:c r="C1212" s="31" t="s">
        <x:v>509</x:v>
      </x:c>
      <x:c r="D1212" s="31" t="s">
        <x:v>633</x:v>
      </x:c>
    </x:row>
    <x:row r="1213" ht="43.5" hidden="0" customHeight="1">
      <x:c r="B1213" s="30" t="s">
        <x:v>408</x:v>
      </x:c>
      <x:c r="C1213" s="30" t="s">
        <x:v>497</x:v>
      </x:c>
      <x:c r="D1213" s="30" t="s">
        <x:v>1431</x:v>
      </x:c>
    </x:row>
    <x:row r="1214" ht="114.75" hidden="0" customHeight="1">
      <x:c r="B1214" s="31" t="s">
        <x:v>408</x:v>
      </x:c>
      <x:c r="C1214" s="31" t="s">
        <x:v>499</x:v>
      </x:c>
      <x:c r="D1214" s="31" t="s">
        <x:v>1432</x:v>
      </x:c>
    </x:row>
    <x:row r="1215" ht="57.75" hidden="0" customHeight="1">
      <x:c r="B1215" s="32" t="s">
        <x:v>408</x:v>
      </x:c>
      <x:c r="C1215" s="32" t="s">
        <x:v>501</x:v>
      </x:c>
      <x:c r="D1215" s="32" t="s">
        <x:v>1421</x:v>
      </x:c>
    </x:row>
    <x:row r="1216" ht="186" hidden="0" customHeight="1">
      <x:c r="B1216" s="31" t="s">
        <x:v>408</x:v>
      </x:c>
      <x:c r="C1216" s="31" t="s">
        <x:v>503</x:v>
      </x:c>
      <x:c r="D1216" s="31" t="s">
        <x:v>1433</x:v>
      </x:c>
    </x:row>
    <x:row r="1217" ht="129" hidden="0" customHeight="1">
      <x:c r="B1217" s="32" t="s">
        <x:v>408</x:v>
      </x:c>
      <x:c r="C1217" s="32" t="s">
        <x:v>505</x:v>
      </x:c>
      <x:c r="D1217" s="32" t="s">
        <x:v>1434</x:v>
      </x:c>
    </x:row>
    <x:row r="1218" ht="129" hidden="0" customHeight="1">
      <x:c r="B1218" s="32" t="s">
        <x:v>408</x:v>
      </x:c>
      <x:c r="C1218" s="32" t="s">
        <x:v>507</x:v>
      </x:c>
      <x:c r="D1218" s="32" t="s">
        <x:v>1435</x:v>
      </x:c>
    </x:row>
    <x:row r="1219" ht="43.5" hidden="0" customHeight="1">
      <x:c r="B1219" s="31" t="s">
        <x:v>408</x:v>
      </x:c>
      <x:c r="C1219" s="31" t="s">
        <x:v>509</x:v>
      </x:c>
      <x:c r="D1219" s="31" t="s">
        <x:v>639</x:v>
      </x:c>
    </x:row>
    <x:row r="1220" ht="34.5" hidden="0" customHeight="1">
      <x:c r="B1220" s="30" t="s">
        <x:v>410</x:v>
      </x:c>
      <x:c r="C1220" s="30" t="s">
        <x:v>497</x:v>
      </x:c>
      <x:c r="D1220" s="30" t="s">
        <x:v>1436</x:v>
      </x:c>
    </x:row>
    <x:row r="1221" ht="57.75" hidden="0" customHeight="1">
      <x:c r="B1221" s="31" t="s">
        <x:v>410</x:v>
      </x:c>
      <x:c r="C1221" s="31" t="s">
        <x:v>499</x:v>
      </x:c>
      <x:c r="D1221" s="31" t="s">
        <x:v>1437</x:v>
      </x:c>
    </x:row>
    <x:row r="1222" ht="57.75" hidden="0" customHeight="1">
      <x:c r="B1222" s="32" t="s">
        <x:v>410</x:v>
      </x:c>
      <x:c r="C1222" s="32" t="s">
        <x:v>501</x:v>
      </x:c>
      <x:c r="D1222" s="32" t="s">
        <x:v>1421</x:v>
      </x:c>
    </x:row>
    <x:row r="1223" ht="129" hidden="0" customHeight="1">
      <x:c r="B1223" s="31" t="s">
        <x:v>410</x:v>
      </x:c>
      <x:c r="C1223" s="31" t="s">
        <x:v>503</x:v>
      </x:c>
      <x:c r="D1223" s="31" t="s">
        <x:v>1438</x:v>
      </x:c>
    </x:row>
    <x:row r="1224" ht="72" hidden="0" customHeight="1">
      <x:c r="B1224" s="32" t="s">
        <x:v>410</x:v>
      </x:c>
      <x:c r="C1224" s="32" t="s">
        <x:v>505</x:v>
      </x:c>
      <x:c r="D1224" s="32" t="s">
        <x:v>1439</x:v>
      </x:c>
    </x:row>
    <x:row r="1225" ht="72" hidden="0" customHeight="1">
      <x:c r="B1225" s="32" t="s">
        <x:v>410</x:v>
      </x:c>
      <x:c r="C1225" s="32" t="s">
        <x:v>507</x:v>
      </x:c>
      <x:c r="D1225" s="32" t="s">
        <x:v>1440</x:v>
      </x:c>
    </x:row>
    <x:row r="1226" ht="43.5" hidden="0" customHeight="1">
      <x:c r="B1226" s="31" t="s">
        <x:v>410</x:v>
      </x:c>
      <x:c r="C1226" s="31" t="s">
        <x:v>509</x:v>
      </x:c>
      <x:c r="D1226" s="31" t="s">
        <x:v>644</x:v>
      </x:c>
    </x:row>
    <x:row r="1227" ht="34.5" hidden="0" customHeight="1">
      <x:c r="B1227" s="30" t="s">
        <x:v>412</x:v>
      </x:c>
      <x:c r="C1227" s="30" t="s">
        <x:v>497</x:v>
      </x:c>
      <x:c r="D1227" s="30" t="s">
        <x:v>413</x:v>
      </x:c>
    </x:row>
    <x:row r="1228" ht="129" hidden="0" customHeight="1">
      <x:c r="B1228" s="31" t="s">
        <x:v>412</x:v>
      </x:c>
      <x:c r="C1228" s="31" t="s">
        <x:v>499</x:v>
      </x:c>
      <x:c r="D1228" s="31" t="s">
        <x:v>1441</x:v>
      </x:c>
    </x:row>
    <x:row r="1229" ht="43.5" hidden="0" customHeight="1">
      <x:c r="B1229" s="32" t="s">
        <x:v>412</x:v>
      </x:c>
      <x:c r="C1229" s="32" t="s">
        <x:v>501</x:v>
      </x:c>
      <x:c r="D1229" s="32" t="s">
        <x:v>1442</x:v>
      </x:c>
    </x:row>
    <x:row r="1230" ht="171.75" hidden="0" customHeight="1">
      <x:c r="B1230" s="31" t="s">
        <x:v>412</x:v>
      </x:c>
      <x:c r="C1230" s="31" t="s">
        <x:v>503</x:v>
      </x:c>
      <x:c r="D1230" s="31" t="s">
        <x:v>1443</x:v>
      </x:c>
    </x:row>
    <x:row r="1231" ht="114.75" hidden="0" customHeight="1">
      <x:c r="B1231" s="32" t="s">
        <x:v>412</x:v>
      </x:c>
      <x:c r="C1231" s="32" t="s">
        <x:v>505</x:v>
      </x:c>
      <x:c r="D1231" s="32" t="s">
        <x:v>1444</x:v>
      </x:c>
    </x:row>
    <x:row r="1232" ht="114.75" hidden="0" customHeight="1">
      <x:c r="B1232" s="32" t="s">
        <x:v>412</x:v>
      </x:c>
      <x:c r="C1232" s="32" t="s">
        <x:v>507</x:v>
      </x:c>
      <x:c r="D1232" s="32" t="s">
        <x:v>1445</x:v>
      </x:c>
    </x:row>
    <x:row r="1233" ht="43.5" hidden="0" customHeight="1">
      <x:c r="B1233" s="31" t="s">
        <x:v>412</x:v>
      </x:c>
      <x:c r="C1233" s="31" t="s">
        <x:v>509</x:v>
      </x:c>
      <x:c r="D1233" s="31" t="s">
        <x:v>626</x:v>
      </x:c>
    </x:row>
    <x:row r="1234" ht="43.5" hidden="0" customHeight="1">
      <x:c r="B1234" s="30" t="s">
        <x:v>414</x:v>
      </x:c>
      <x:c r="C1234" s="30" t="s">
        <x:v>497</x:v>
      </x:c>
      <x:c r="D1234" s="30" t="s">
        <x:v>1446</x:v>
      </x:c>
    </x:row>
    <x:row r="1235" ht="114.75" hidden="0" customHeight="1">
      <x:c r="B1235" s="31" t="s">
        <x:v>414</x:v>
      </x:c>
      <x:c r="C1235" s="31" t="s">
        <x:v>499</x:v>
      </x:c>
      <x:c r="D1235" s="31" t="s">
        <x:v>1447</x:v>
      </x:c>
    </x:row>
    <x:row r="1236" ht="43.5" hidden="0" customHeight="1">
      <x:c r="B1236" s="32" t="s">
        <x:v>414</x:v>
      </x:c>
      <x:c r="C1236" s="32" t="s">
        <x:v>501</x:v>
      </x:c>
      <x:c r="D1236" s="32" t="s">
        <x:v>1442</x:v>
      </x:c>
    </x:row>
    <x:row r="1237" ht="186" hidden="0" customHeight="1">
      <x:c r="B1237" s="31" t="s">
        <x:v>414</x:v>
      </x:c>
      <x:c r="C1237" s="31" t="s">
        <x:v>503</x:v>
      </x:c>
      <x:c r="D1237" s="31" t="s">
        <x:v>1448</x:v>
      </x:c>
    </x:row>
    <x:row r="1238" ht="157.5" hidden="0" customHeight="1">
      <x:c r="B1238" s="32" t="s">
        <x:v>414</x:v>
      </x:c>
      <x:c r="C1238" s="32" t="s">
        <x:v>505</x:v>
      </x:c>
      <x:c r="D1238" s="32" t="s">
        <x:v>1449</x:v>
      </x:c>
    </x:row>
    <x:row r="1239" ht="157.5" hidden="0" customHeight="1">
      <x:c r="B1239" s="32" t="s">
        <x:v>414</x:v>
      </x:c>
      <x:c r="C1239" s="32" t="s">
        <x:v>507</x:v>
      </x:c>
      <x:c r="D1239" s="32" t="s">
        <x:v>1450</x:v>
      </x:c>
    </x:row>
    <x:row r="1240" ht="90" hidden="0" customHeight="1">
      <x:c r="B1240" s="32" t="s">
        <x:v>414</x:v>
      </x:c>
      <x:c r="C1240" s="32" t="s">
        <x:v>517</x:v>
      </x:c>
      <x:c r="D1240" s="32" t="s">
        <x:v>1451</x:v>
      </x:c>
    </x:row>
    <x:row r="1241" ht="57.75" hidden="0" customHeight="1">
      <x:c r="B1241" s="31" t="s">
        <x:v>414</x:v>
      </x:c>
      <x:c r="C1241" s="31" t="s">
        <x:v>509</x:v>
      </x:c>
      <x:c r="D1241" s="31" t="s">
        <x:v>633</x:v>
      </x:c>
    </x:row>
    <x:row r="1242" ht="43.5" hidden="0" customHeight="1">
      <x:c r="B1242" s="30" t="s">
        <x:v>416</x:v>
      </x:c>
      <x:c r="C1242" s="30" t="s">
        <x:v>497</x:v>
      </x:c>
      <x:c r="D1242" s="30" t="s">
        <x:v>1452</x:v>
      </x:c>
    </x:row>
    <x:row r="1243" ht="114.75" hidden="0" customHeight="1">
      <x:c r="B1243" s="31" t="s">
        <x:v>416</x:v>
      </x:c>
      <x:c r="C1243" s="31" t="s">
        <x:v>499</x:v>
      </x:c>
      <x:c r="D1243" s="31" t="s">
        <x:v>1453</x:v>
      </x:c>
    </x:row>
    <x:row r="1244" ht="43.5" hidden="0" customHeight="1">
      <x:c r="B1244" s="32" t="s">
        <x:v>416</x:v>
      </x:c>
      <x:c r="C1244" s="32" t="s">
        <x:v>501</x:v>
      </x:c>
      <x:c r="D1244" s="32" t="s">
        <x:v>1442</x:v>
      </x:c>
    </x:row>
    <x:row r="1245" ht="186" hidden="0" customHeight="1">
      <x:c r="B1245" s="31" t="s">
        <x:v>416</x:v>
      </x:c>
      <x:c r="C1245" s="31" t="s">
        <x:v>503</x:v>
      </x:c>
      <x:c r="D1245" s="31" t="s">
        <x:v>1454</x:v>
      </x:c>
    </x:row>
    <x:row r="1246" ht="129" hidden="0" customHeight="1">
      <x:c r="B1246" s="32" t="s">
        <x:v>416</x:v>
      </x:c>
      <x:c r="C1246" s="32" t="s">
        <x:v>505</x:v>
      </x:c>
      <x:c r="D1246" s="32" t="s">
        <x:v>1455</x:v>
      </x:c>
    </x:row>
    <x:row r="1247" ht="129" hidden="0" customHeight="1">
      <x:c r="B1247" s="32" t="s">
        <x:v>416</x:v>
      </x:c>
      <x:c r="C1247" s="32" t="s">
        <x:v>507</x:v>
      </x:c>
      <x:c r="D1247" s="32" t="s">
        <x:v>1456</x:v>
      </x:c>
    </x:row>
    <x:row r="1248" ht="43.5" hidden="0" customHeight="1">
      <x:c r="B1248" s="31" t="s">
        <x:v>416</x:v>
      </x:c>
      <x:c r="C1248" s="31" t="s">
        <x:v>509</x:v>
      </x:c>
      <x:c r="D1248" s="31" t="s">
        <x:v>639</x:v>
      </x:c>
    </x:row>
    <x:row r="1249" ht="34.5" hidden="0" customHeight="1">
      <x:c r="B1249" s="30" t="s">
        <x:v>418</x:v>
      </x:c>
      <x:c r="C1249" s="30" t="s">
        <x:v>497</x:v>
      </x:c>
      <x:c r="D1249" s="30" t="s">
        <x:v>1457</x:v>
      </x:c>
    </x:row>
    <x:row r="1250" ht="57.75" hidden="0" customHeight="1">
      <x:c r="B1250" s="31" t="s">
        <x:v>418</x:v>
      </x:c>
      <x:c r="C1250" s="31" t="s">
        <x:v>499</x:v>
      </x:c>
      <x:c r="D1250" s="31" t="s">
        <x:v>1458</x:v>
      </x:c>
    </x:row>
    <x:row r="1251" ht="43.5" hidden="0" customHeight="1">
      <x:c r="B1251" s="32" t="s">
        <x:v>418</x:v>
      </x:c>
      <x:c r="C1251" s="32" t="s">
        <x:v>501</x:v>
      </x:c>
      <x:c r="D1251" s="32" t="s">
        <x:v>1442</x:v>
      </x:c>
    </x:row>
    <x:row r="1252" ht="129" hidden="0" customHeight="1">
      <x:c r="B1252" s="31" t="s">
        <x:v>418</x:v>
      </x:c>
      <x:c r="C1252" s="31" t="s">
        <x:v>503</x:v>
      </x:c>
      <x:c r="D1252" s="31" t="s">
        <x:v>1459</x:v>
      </x:c>
    </x:row>
    <x:row r="1253" ht="72" hidden="0" customHeight="1">
      <x:c r="B1253" s="32" t="s">
        <x:v>418</x:v>
      </x:c>
      <x:c r="C1253" s="32" t="s">
        <x:v>505</x:v>
      </x:c>
      <x:c r="D1253" s="32" t="s">
        <x:v>1460</x:v>
      </x:c>
    </x:row>
    <x:row r="1254" ht="72" hidden="0" customHeight="1">
      <x:c r="B1254" s="32" t="s">
        <x:v>418</x:v>
      </x:c>
      <x:c r="C1254" s="32" t="s">
        <x:v>507</x:v>
      </x:c>
      <x:c r="D1254" s="32" t="s">
        <x:v>1461</x:v>
      </x:c>
    </x:row>
    <x:row r="1255" ht="43.5" hidden="0" customHeight="1">
      <x:c r="B1255" s="31" t="s">
        <x:v>418</x:v>
      </x:c>
      <x:c r="C1255" s="31" t="s">
        <x:v>509</x:v>
      </x:c>
      <x:c r="D1255" s="31" t="s">
        <x:v>644</x:v>
      </x:c>
    </x:row>
    <x:row r="1256" ht="34.5" hidden="0" customHeight="1">
      <x:c r="B1256" s="30" t="s">
        <x:v>420</x:v>
      </x:c>
      <x:c r="C1256" s="30" t="s">
        <x:v>497</x:v>
      </x:c>
      <x:c r="D1256" s="30" t="s">
        <x:v>1462</x:v>
      </x:c>
    </x:row>
    <x:row r="1257" ht="129" hidden="0" customHeight="1">
      <x:c r="B1257" s="31" t="s">
        <x:v>420</x:v>
      </x:c>
      <x:c r="C1257" s="31" t="s">
        <x:v>499</x:v>
      </x:c>
      <x:c r="D1257" s="31" t="s">
        <x:v>1463</x:v>
      </x:c>
    </x:row>
    <x:row r="1258" ht="43.5" hidden="0" customHeight="1">
      <x:c r="B1258" s="32" t="s">
        <x:v>420</x:v>
      </x:c>
      <x:c r="C1258" s="32" t="s">
        <x:v>501</x:v>
      </x:c>
      <x:c r="D1258" s="32" t="s">
        <x:v>1464</x:v>
      </x:c>
    </x:row>
    <x:row r="1259" ht="171.75" hidden="0" customHeight="1">
      <x:c r="B1259" s="31" t="s">
        <x:v>420</x:v>
      </x:c>
      <x:c r="C1259" s="31" t="s">
        <x:v>503</x:v>
      </x:c>
      <x:c r="D1259" s="31" t="s">
        <x:v>1465</x:v>
      </x:c>
    </x:row>
    <x:row r="1260" ht="100.5" hidden="0" customHeight="1">
      <x:c r="B1260" s="32" t="s">
        <x:v>420</x:v>
      </x:c>
      <x:c r="C1260" s="32" t="s">
        <x:v>505</x:v>
      </x:c>
      <x:c r="D1260" s="32" t="s">
        <x:v>1466</x:v>
      </x:c>
    </x:row>
    <x:row r="1261" ht="100.5" hidden="0" customHeight="1">
      <x:c r="B1261" s="32" t="s">
        <x:v>420</x:v>
      </x:c>
      <x:c r="C1261" s="32" t="s">
        <x:v>507</x:v>
      </x:c>
      <x:c r="D1261" s="32" t="s">
        <x:v>1467</x:v>
      </x:c>
    </x:row>
    <x:row r="1262" ht="43.5" hidden="0" customHeight="1">
      <x:c r="B1262" s="31" t="s">
        <x:v>420</x:v>
      </x:c>
      <x:c r="C1262" s="31" t="s">
        <x:v>509</x:v>
      </x:c>
      <x:c r="D1262" s="31" t="s">
        <x:v>626</x:v>
      </x:c>
    </x:row>
    <x:row r="1263" ht="43.5" hidden="0" customHeight="1">
      <x:c r="B1263" s="30" t="s">
        <x:v>422</x:v>
      </x:c>
      <x:c r="C1263" s="30" t="s">
        <x:v>497</x:v>
      </x:c>
      <x:c r="D1263" s="30" t="s">
        <x:v>1468</x:v>
      </x:c>
    </x:row>
    <x:row r="1264" ht="114.75" hidden="0" customHeight="1">
      <x:c r="B1264" s="31" t="s">
        <x:v>422</x:v>
      </x:c>
      <x:c r="C1264" s="31" t="s">
        <x:v>499</x:v>
      </x:c>
      <x:c r="D1264" s="31" t="s">
        <x:v>1469</x:v>
      </x:c>
    </x:row>
    <x:row r="1265" ht="43.5" hidden="0" customHeight="1">
      <x:c r="B1265" s="32" t="s">
        <x:v>422</x:v>
      </x:c>
      <x:c r="C1265" s="32" t="s">
        <x:v>501</x:v>
      </x:c>
      <x:c r="D1265" s="32" t="s">
        <x:v>1464</x:v>
      </x:c>
    </x:row>
    <x:row r="1266" ht="186" hidden="0" customHeight="1">
      <x:c r="B1266" s="31" t="s">
        <x:v>422</x:v>
      </x:c>
      <x:c r="C1266" s="31" t="s">
        <x:v>503</x:v>
      </x:c>
      <x:c r="D1266" s="31" t="s">
        <x:v>1470</x:v>
      </x:c>
    </x:row>
    <x:row r="1267" ht="157.5" hidden="0" customHeight="1">
      <x:c r="B1267" s="32" t="s">
        <x:v>422</x:v>
      </x:c>
      <x:c r="C1267" s="32" t="s">
        <x:v>505</x:v>
      </x:c>
      <x:c r="D1267" s="32" t="s">
        <x:v>1471</x:v>
      </x:c>
    </x:row>
    <x:row r="1268" ht="157.5" hidden="0" customHeight="1">
      <x:c r="B1268" s="32" t="s">
        <x:v>422</x:v>
      </x:c>
      <x:c r="C1268" s="32" t="s">
        <x:v>507</x:v>
      </x:c>
      <x:c r="D1268" s="32" t="s">
        <x:v>1472</x:v>
      </x:c>
    </x:row>
    <x:row r="1269" ht="90" hidden="0" customHeight="1">
      <x:c r="B1269" s="32" t="s">
        <x:v>422</x:v>
      </x:c>
      <x:c r="C1269" s="32" t="s">
        <x:v>517</x:v>
      </x:c>
      <x:c r="D1269" s="32" t="s">
        <x:v>1473</x:v>
      </x:c>
    </x:row>
    <x:row r="1270" ht="57.75" hidden="0" customHeight="1">
      <x:c r="B1270" s="31" t="s">
        <x:v>422</x:v>
      </x:c>
      <x:c r="C1270" s="31" t="s">
        <x:v>509</x:v>
      </x:c>
      <x:c r="D1270" s="31" t="s">
        <x:v>633</x:v>
      </x:c>
    </x:row>
    <x:row r="1271" ht="43.5" hidden="0" customHeight="1">
      <x:c r="B1271" s="30" t="s">
        <x:v>425</x:v>
      </x:c>
      <x:c r="C1271" s="30" t="s">
        <x:v>497</x:v>
      </x:c>
      <x:c r="D1271" s="30" t="s">
        <x:v>1474</x:v>
      </x:c>
    </x:row>
    <x:row r="1272" ht="114.75" hidden="0" customHeight="1">
      <x:c r="B1272" s="31" t="s">
        <x:v>425</x:v>
      </x:c>
      <x:c r="C1272" s="31" t="s">
        <x:v>499</x:v>
      </x:c>
      <x:c r="D1272" s="31" t="s">
        <x:v>1475</x:v>
      </x:c>
    </x:row>
    <x:row r="1273" ht="43.5" hidden="0" customHeight="1">
      <x:c r="B1273" s="32" t="s">
        <x:v>425</x:v>
      </x:c>
      <x:c r="C1273" s="32" t="s">
        <x:v>501</x:v>
      </x:c>
      <x:c r="D1273" s="32" t="s">
        <x:v>1464</x:v>
      </x:c>
    </x:row>
    <x:row r="1274" ht="186" hidden="0" customHeight="1">
      <x:c r="B1274" s="31" t="s">
        <x:v>425</x:v>
      </x:c>
      <x:c r="C1274" s="31" t="s">
        <x:v>503</x:v>
      </x:c>
      <x:c r="D1274" s="31" t="s">
        <x:v>1476</x:v>
      </x:c>
    </x:row>
    <x:row r="1275" ht="129" hidden="0" customHeight="1">
      <x:c r="B1275" s="32" t="s">
        <x:v>425</x:v>
      </x:c>
      <x:c r="C1275" s="32" t="s">
        <x:v>505</x:v>
      </x:c>
      <x:c r="D1275" s="32" t="s">
        <x:v>1477</x:v>
      </x:c>
    </x:row>
    <x:row r="1276" ht="129" hidden="0" customHeight="1">
      <x:c r="B1276" s="32" t="s">
        <x:v>425</x:v>
      </x:c>
      <x:c r="C1276" s="32" t="s">
        <x:v>507</x:v>
      </x:c>
      <x:c r="D1276" s="32" t="s">
        <x:v>1478</x:v>
      </x:c>
    </x:row>
    <x:row r="1277" ht="43.5" hidden="0" customHeight="1">
      <x:c r="B1277" s="31" t="s">
        <x:v>425</x:v>
      </x:c>
      <x:c r="C1277" s="31" t="s">
        <x:v>509</x:v>
      </x:c>
      <x:c r="D1277" s="31" t="s">
        <x:v>639</x:v>
      </x:c>
    </x:row>
    <x:row r="1278" ht="43.5" hidden="0" customHeight="1">
      <x:c r="B1278" s="30" t="s">
        <x:v>427</x:v>
      </x:c>
      <x:c r="C1278" s="30" t="s">
        <x:v>497</x:v>
      </x:c>
      <x:c r="D1278" s="30" t="s">
        <x:v>1479</x:v>
      </x:c>
    </x:row>
    <x:row r="1279" ht="72" hidden="0" customHeight="1">
      <x:c r="B1279" s="31" t="s">
        <x:v>427</x:v>
      </x:c>
      <x:c r="C1279" s="31" t="s">
        <x:v>499</x:v>
      </x:c>
      <x:c r="D1279" s="31" t="s">
        <x:v>1480</x:v>
      </x:c>
    </x:row>
    <x:row r="1280" ht="43.5" hidden="0" customHeight="1">
      <x:c r="B1280" s="32" t="s">
        <x:v>427</x:v>
      </x:c>
      <x:c r="C1280" s="32" t="s">
        <x:v>501</x:v>
      </x:c>
      <x:c r="D1280" s="32" t="s">
        <x:v>1464</x:v>
      </x:c>
    </x:row>
    <x:row r="1281" ht="129" hidden="0" customHeight="1">
      <x:c r="B1281" s="31" t="s">
        <x:v>427</x:v>
      </x:c>
      <x:c r="C1281" s="31" t="s">
        <x:v>503</x:v>
      </x:c>
      <x:c r="D1281" s="31" t="s">
        <x:v>1481</x:v>
      </x:c>
    </x:row>
    <x:row r="1282" ht="72" hidden="0" customHeight="1">
      <x:c r="B1282" s="32" t="s">
        <x:v>427</x:v>
      </x:c>
      <x:c r="C1282" s="32" t="s">
        <x:v>505</x:v>
      </x:c>
      <x:c r="D1282" s="32" t="s">
        <x:v>1482</x:v>
      </x:c>
    </x:row>
    <x:row r="1283" ht="72" hidden="0" customHeight="1">
      <x:c r="B1283" s="32" t="s">
        <x:v>427</x:v>
      </x:c>
      <x:c r="C1283" s="32" t="s">
        <x:v>507</x:v>
      </x:c>
      <x:c r="D1283" s="32" t="s">
        <x:v>1483</x:v>
      </x:c>
    </x:row>
    <x:row r="1284" ht="43.5" hidden="0" customHeight="1">
      <x:c r="B1284" s="31" t="s">
        <x:v>427</x:v>
      </x:c>
      <x:c r="C1284" s="31" t="s">
        <x:v>509</x:v>
      </x:c>
      <x:c r="D1284" s="31" t="s">
        <x:v>711</x:v>
      </x:c>
    </x:row>
    <x:row r="1285" ht="34.5" hidden="0" customHeight="1">
      <x:c r="B1285" s="30" t="s">
        <x:v>429</x:v>
      </x:c>
      <x:c r="C1285" s="30" t="s">
        <x:v>497</x:v>
      </x:c>
      <x:c r="D1285" s="30" t="s">
        <x:v>1484</x:v>
      </x:c>
    </x:row>
    <x:row r="1286" ht="129" hidden="0" customHeight="1">
      <x:c r="B1286" s="31" t="s">
        <x:v>429</x:v>
      </x:c>
      <x:c r="C1286" s="31" t="s">
        <x:v>499</x:v>
      </x:c>
      <x:c r="D1286" s="31" t="s">
        <x:v>1485</x:v>
      </x:c>
    </x:row>
    <x:row r="1287" ht="57.75" hidden="0" customHeight="1">
      <x:c r="B1287" s="32" t="s">
        <x:v>429</x:v>
      </x:c>
      <x:c r="C1287" s="32" t="s">
        <x:v>501</x:v>
      </x:c>
      <x:c r="D1287" s="32" t="s">
        <x:v>1486</x:v>
      </x:c>
    </x:row>
    <x:row r="1288" ht="171.75" hidden="0" customHeight="1">
      <x:c r="B1288" s="31" t="s">
        <x:v>429</x:v>
      </x:c>
      <x:c r="C1288" s="31" t="s">
        <x:v>503</x:v>
      </x:c>
      <x:c r="D1288" s="31" t="s">
        <x:v>1487</x:v>
      </x:c>
    </x:row>
    <x:row r="1289" ht="114.75" hidden="0" customHeight="1">
      <x:c r="B1289" s="32" t="s">
        <x:v>429</x:v>
      </x:c>
      <x:c r="C1289" s="32" t="s">
        <x:v>505</x:v>
      </x:c>
      <x:c r="D1289" s="32" t="s">
        <x:v>1488</x:v>
      </x:c>
    </x:row>
    <x:row r="1290" ht="114.75" hidden="0" customHeight="1">
      <x:c r="B1290" s="32" t="s">
        <x:v>429</x:v>
      </x:c>
      <x:c r="C1290" s="32" t="s">
        <x:v>507</x:v>
      </x:c>
      <x:c r="D1290" s="32" t="s">
        <x:v>1489</x:v>
      </x:c>
    </x:row>
    <x:row r="1291" ht="43.5" hidden="0" customHeight="1">
      <x:c r="B1291" s="31" t="s">
        <x:v>429</x:v>
      </x:c>
      <x:c r="C1291" s="31" t="s">
        <x:v>509</x:v>
      </x:c>
      <x:c r="D1291" s="31" t="s">
        <x:v>626</x:v>
      </x:c>
    </x:row>
    <x:row r="1292" ht="43.5" hidden="0" customHeight="1">
      <x:c r="B1292" s="30" t="s">
        <x:v>431</x:v>
      </x:c>
      <x:c r="C1292" s="30" t="s">
        <x:v>497</x:v>
      </x:c>
      <x:c r="D1292" s="30" t="s">
        <x:v>1490</x:v>
      </x:c>
    </x:row>
    <x:row r="1293" ht="114.75" hidden="0" customHeight="1">
      <x:c r="B1293" s="31" t="s">
        <x:v>431</x:v>
      </x:c>
      <x:c r="C1293" s="31" t="s">
        <x:v>499</x:v>
      </x:c>
      <x:c r="D1293" s="31" t="s">
        <x:v>1491</x:v>
      </x:c>
    </x:row>
    <x:row r="1294" ht="57.75" hidden="0" customHeight="1">
      <x:c r="B1294" s="32" t="s">
        <x:v>431</x:v>
      </x:c>
      <x:c r="C1294" s="32" t="s">
        <x:v>501</x:v>
      </x:c>
      <x:c r="D1294" s="32" t="s">
        <x:v>1486</x:v>
      </x:c>
    </x:row>
    <x:row r="1295" ht="186" hidden="0" customHeight="1">
      <x:c r="B1295" s="31" t="s">
        <x:v>431</x:v>
      </x:c>
      <x:c r="C1295" s="31" t="s">
        <x:v>503</x:v>
      </x:c>
      <x:c r="D1295" s="31" t="s">
        <x:v>1492</x:v>
      </x:c>
    </x:row>
    <x:row r="1296" ht="157.5" hidden="0" customHeight="1">
      <x:c r="B1296" s="32" t="s">
        <x:v>431</x:v>
      </x:c>
      <x:c r="C1296" s="32" t="s">
        <x:v>505</x:v>
      </x:c>
      <x:c r="D1296" s="32" t="s">
        <x:v>1493</x:v>
      </x:c>
    </x:row>
    <x:row r="1297" ht="157.5" hidden="0" customHeight="1">
      <x:c r="B1297" s="32" t="s">
        <x:v>431</x:v>
      </x:c>
      <x:c r="C1297" s="32" t="s">
        <x:v>507</x:v>
      </x:c>
      <x:c r="D1297" s="32" t="s">
        <x:v>1494</x:v>
      </x:c>
    </x:row>
    <x:row r="1298" ht="90" hidden="0" customHeight="1">
      <x:c r="B1298" s="32" t="s">
        <x:v>431</x:v>
      </x:c>
      <x:c r="C1298" s="32" t="s">
        <x:v>517</x:v>
      </x:c>
      <x:c r="D1298" s="32" t="s">
        <x:v>1495</x:v>
      </x:c>
    </x:row>
    <x:row r="1299" ht="57.75" hidden="0" customHeight="1">
      <x:c r="B1299" s="31" t="s">
        <x:v>431</x:v>
      </x:c>
      <x:c r="C1299" s="31" t="s">
        <x:v>509</x:v>
      </x:c>
      <x:c r="D1299" s="31" t="s">
        <x:v>633</x:v>
      </x:c>
    </x:row>
    <x:row r="1300" ht="43.5" hidden="0" customHeight="1">
      <x:c r="B1300" s="30" t="s">
        <x:v>433</x:v>
      </x:c>
      <x:c r="C1300" s="30" t="s">
        <x:v>497</x:v>
      </x:c>
      <x:c r="D1300" s="30" t="s">
        <x:v>1496</x:v>
      </x:c>
    </x:row>
    <x:row r="1301" ht="114.75" hidden="0" customHeight="1">
      <x:c r="B1301" s="31" t="s">
        <x:v>433</x:v>
      </x:c>
      <x:c r="C1301" s="31" t="s">
        <x:v>499</x:v>
      </x:c>
      <x:c r="D1301" s="31" t="s">
        <x:v>1497</x:v>
      </x:c>
    </x:row>
    <x:row r="1302" ht="57.75" hidden="0" customHeight="1">
      <x:c r="B1302" s="32" t="s">
        <x:v>433</x:v>
      </x:c>
      <x:c r="C1302" s="32" t="s">
        <x:v>501</x:v>
      </x:c>
      <x:c r="D1302" s="32" t="s">
        <x:v>1486</x:v>
      </x:c>
    </x:row>
    <x:row r="1303" ht="186" hidden="0" customHeight="1">
      <x:c r="B1303" s="31" t="s">
        <x:v>433</x:v>
      </x:c>
      <x:c r="C1303" s="31" t="s">
        <x:v>503</x:v>
      </x:c>
      <x:c r="D1303" s="31" t="s">
        <x:v>1498</x:v>
      </x:c>
    </x:row>
    <x:row r="1304" ht="129" hidden="0" customHeight="1">
      <x:c r="B1304" s="32" t="s">
        <x:v>433</x:v>
      </x:c>
      <x:c r="C1304" s="32" t="s">
        <x:v>505</x:v>
      </x:c>
      <x:c r="D1304" s="32" t="s">
        <x:v>1499</x:v>
      </x:c>
    </x:row>
    <x:row r="1305" ht="129" hidden="0" customHeight="1">
      <x:c r="B1305" s="32" t="s">
        <x:v>433</x:v>
      </x:c>
      <x:c r="C1305" s="32" t="s">
        <x:v>507</x:v>
      </x:c>
      <x:c r="D1305" s="32" t="s">
        <x:v>1500</x:v>
      </x:c>
    </x:row>
    <x:row r="1306" ht="43.5" hidden="0" customHeight="1">
      <x:c r="B1306" s="31" t="s">
        <x:v>433</x:v>
      </x:c>
      <x:c r="C1306" s="31" t="s">
        <x:v>509</x:v>
      </x:c>
      <x:c r="D1306" s="31" t="s">
        <x:v>639</x:v>
      </x:c>
    </x:row>
    <x:row r="1307" ht="34.5" hidden="0" customHeight="1">
      <x:c r="B1307" s="30" t="s">
        <x:v>435</x:v>
      </x:c>
      <x:c r="C1307" s="30" t="s">
        <x:v>497</x:v>
      </x:c>
      <x:c r="D1307" s="30" t="s">
        <x:v>1501</x:v>
      </x:c>
    </x:row>
    <x:row r="1308" ht="57.75" hidden="0" customHeight="1">
      <x:c r="B1308" s="31" t="s">
        <x:v>435</x:v>
      </x:c>
      <x:c r="C1308" s="31" t="s">
        <x:v>499</x:v>
      </x:c>
      <x:c r="D1308" s="31" t="s">
        <x:v>1502</x:v>
      </x:c>
    </x:row>
    <x:row r="1309" ht="57.75" hidden="0" customHeight="1">
      <x:c r="B1309" s="32" t="s">
        <x:v>435</x:v>
      </x:c>
      <x:c r="C1309" s="32" t="s">
        <x:v>501</x:v>
      </x:c>
      <x:c r="D1309" s="32" t="s">
        <x:v>1486</x:v>
      </x:c>
    </x:row>
    <x:row r="1310" ht="129" hidden="0" customHeight="1">
      <x:c r="B1310" s="31" t="s">
        <x:v>435</x:v>
      </x:c>
      <x:c r="C1310" s="31" t="s">
        <x:v>503</x:v>
      </x:c>
      <x:c r="D1310" s="31" t="s">
        <x:v>1503</x:v>
      </x:c>
    </x:row>
    <x:row r="1311" ht="72" hidden="0" customHeight="1">
      <x:c r="B1311" s="32" t="s">
        <x:v>435</x:v>
      </x:c>
      <x:c r="C1311" s="32" t="s">
        <x:v>505</x:v>
      </x:c>
      <x:c r="D1311" s="32" t="s">
        <x:v>1504</x:v>
      </x:c>
    </x:row>
    <x:row r="1312" ht="72" hidden="0" customHeight="1">
      <x:c r="B1312" s="32" t="s">
        <x:v>435</x:v>
      </x:c>
      <x:c r="C1312" s="32" t="s">
        <x:v>507</x:v>
      </x:c>
      <x:c r="D1312" s="32" t="s">
        <x:v>1505</x:v>
      </x:c>
    </x:row>
    <x:row r="1313" ht="43.5" hidden="0" customHeight="1">
      <x:c r="B1313" s="31" t="s">
        <x:v>435</x:v>
      </x:c>
      <x:c r="C1313" s="31" t="s">
        <x:v>509</x:v>
      </x:c>
      <x:c r="D1313" s="31" t="s">
        <x:v>644</x:v>
      </x:c>
    </x:row>
    <x:row r="1314" ht="34.5" hidden="0" customHeight="1">
      <x:c r="B1314" s="30" t="s">
        <x:v>437</x:v>
      </x:c>
      <x:c r="C1314" s="30" t="s">
        <x:v>497</x:v>
      </x:c>
      <x:c r="D1314" s="30" t="s">
        <x:v>438</x:v>
      </x:c>
    </x:row>
    <x:row r="1315" ht="114.75" hidden="0" customHeight="1">
      <x:c r="B1315" s="31" t="s">
        <x:v>437</x:v>
      </x:c>
      <x:c r="C1315" s="31" t="s">
        <x:v>499</x:v>
      </x:c>
      <x:c r="D1315" s="31" t="s">
        <x:v>1506</x:v>
      </x:c>
    </x:row>
    <x:row r="1316" ht="43.5" hidden="0" customHeight="1">
      <x:c r="B1316" s="32" t="s">
        <x:v>437</x:v>
      </x:c>
      <x:c r="C1316" s="32" t="s">
        <x:v>501</x:v>
      </x:c>
      <x:c r="D1316" s="32" t="s">
        <x:v>1507</x:v>
      </x:c>
    </x:row>
    <x:row r="1317" ht="157.5" hidden="0" customHeight="1">
      <x:c r="B1317" s="31" t="s">
        <x:v>437</x:v>
      </x:c>
      <x:c r="C1317" s="31" t="s">
        <x:v>503</x:v>
      </x:c>
      <x:c r="D1317" s="31" t="s">
        <x:v>1508</x:v>
      </x:c>
    </x:row>
    <x:row r="1318" ht="100.5" hidden="0" customHeight="1">
      <x:c r="B1318" s="32" t="s">
        <x:v>437</x:v>
      </x:c>
      <x:c r="C1318" s="32" t="s">
        <x:v>505</x:v>
      </x:c>
      <x:c r="D1318" s="32" t="s">
        <x:v>1509</x:v>
      </x:c>
    </x:row>
    <x:row r="1319" ht="100.5" hidden="0" customHeight="1">
      <x:c r="B1319" s="32" t="s">
        <x:v>437</x:v>
      </x:c>
      <x:c r="C1319" s="32" t="s">
        <x:v>507</x:v>
      </x:c>
      <x:c r="D1319" s="32" t="s">
        <x:v>1510</x:v>
      </x:c>
    </x:row>
    <x:row r="1320" ht="43.5" hidden="0" customHeight="1">
      <x:c r="B1320" s="31" t="s">
        <x:v>437</x:v>
      </x:c>
      <x:c r="C1320" s="31" t="s">
        <x:v>509</x:v>
      </x:c>
      <x:c r="D1320" s="31" t="s">
        <x:v>626</x:v>
      </x:c>
    </x:row>
    <x:row r="1321" ht="43.5" hidden="0" customHeight="1">
      <x:c r="B1321" s="30" t="s">
        <x:v>439</x:v>
      </x:c>
      <x:c r="C1321" s="30" t="s">
        <x:v>497</x:v>
      </x:c>
      <x:c r="D1321" s="30" t="s">
        <x:v>1511</x:v>
      </x:c>
    </x:row>
    <x:row r="1322" ht="100.5" hidden="0" customHeight="1">
      <x:c r="B1322" s="31" t="s">
        <x:v>439</x:v>
      </x:c>
      <x:c r="C1322" s="31" t="s">
        <x:v>499</x:v>
      </x:c>
      <x:c r="D1322" s="31" t="s">
        <x:v>1512</x:v>
      </x:c>
    </x:row>
    <x:row r="1323" ht="43.5" hidden="0" customHeight="1">
      <x:c r="B1323" s="32" t="s">
        <x:v>439</x:v>
      </x:c>
      <x:c r="C1323" s="32" t="s">
        <x:v>501</x:v>
      </x:c>
      <x:c r="D1323" s="32" t="s">
        <x:v>1507</x:v>
      </x:c>
    </x:row>
    <x:row r="1324" ht="171.75" hidden="0" customHeight="1">
      <x:c r="B1324" s="31" t="s">
        <x:v>439</x:v>
      </x:c>
      <x:c r="C1324" s="31" t="s">
        <x:v>503</x:v>
      </x:c>
      <x:c r="D1324" s="31" t="s">
        <x:v>1513</x:v>
      </x:c>
    </x:row>
    <x:row r="1325" ht="143.25" hidden="0" customHeight="1">
      <x:c r="B1325" s="32" t="s">
        <x:v>439</x:v>
      </x:c>
      <x:c r="C1325" s="32" t="s">
        <x:v>505</x:v>
      </x:c>
      <x:c r="D1325" s="32" t="s">
        <x:v>1514</x:v>
      </x:c>
    </x:row>
    <x:row r="1326" ht="143.25" hidden="0" customHeight="1">
      <x:c r="B1326" s="32" t="s">
        <x:v>439</x:v>
      </x:c>
      <x:c r="C1326" s="32" t="s">
        <x:v>507</x:v>
      </x:c>
      <x:c r="D1326" s="32" t="s">
        <x:v>1515</x:v>
      </x:c>
    </x:row>
    <x:row r="1327" ht="90" hidden="0" customHeight="1">
      <x:c r="B1327" s="32" t="s">
        <x:v>439</x:v>
      </x:c>
      <x:c r="C1327" s="32" t="s">
        <x:v>517</x:v>
      </x:c>
      <x:c r="D1327" s="32" t="s">
        <x:v>1516</x:v>
      </x:c>
    </x:row>
    <x:row r="1328" ht="57.75" hidden="0" customHeight="1">
      <x:c r="B1328" s="31" t="s">
        <x:v>439</x:v>
      </x:c>
      <x:c r="C1328" s="31" t="s">
        <x:v>509</x:v>
      </x:c>
      <x:c r="D1328" s="31" t="s">
        <x:v>633</x:v>
      </x:c>
    </x:row>
    <x:row r="1329" ht="43.5" hidden="0" customHeight="1">
      <x:c r="B1329" s="30" t="s">
        <x:v>441</x:v>
      </x:c>
      <x:c r="C1329" s="30" t="s">
        <x:v>497</x:v>
      </x:c>
      <x:c r="D1329" s="30" t="s">
        <x:v>1517</x:v>
      </x:c>
    </x:row>
    <x:row r="1330" ht="114.75" hidden="0" customHeight="1">
      <x:c r="B1330" s="31" t="s">
        <x:v>441</x:v>
      </x:c>
      <x:c r="C1330" s="31" t="s">
        <x:v>499</x:v>
      </x:c>
      <x:c r="D1330" s="31" t="s">
        <x:v>1518</x:v>
      </x:c>
    </x:row>
    <x:row r="1331" ht="43.5" hidden="0" customHeight="1">
      <x:c r="B1331" s="32" t="s">
        <x:v>441</x:v>
      </x:c>
      <x:c r="C1331" s="32" t="s">
        <x:v>501</x:v>
      </x:c>
      <x:c r="D1331" s="32" t="s">
        <x:v>1507</x:v>
      </x:c>
    </x:row>
    <x:row r="1332" ht="186" hidden="0" customHeight="1">
      <x:c r="B1332" s="31" t="s">
        <x:v>441</x:v>
      </x:c>
      <x:c r="C1332" s="31" t="s">
        <x:v>503</x:v>
      </x:c>
      <x:c r="D1332" s="31" t="s">
        <x:v>1519</x:v>
      </x:c>
    </x:row>
    <x:row r="1333" ht="129" hidden="0" customHeight="1">
      <x:c r="B1333" s="32" t="s">
        <x:v>441</x:v>
      </x:c>
      <x:c r="C1333" s="32" t="s">
        <x:v>505</x:v>
      </x:c>
      <x:c r="D1333" s="32" t="s">
        <x:v>1520</x:v>
      </x:c>
    </x:row>
    <x:row r="1334" ht="129" hidden="0" customHeight="1">
      <x:c r="B1334" s="32" t="s">
        <x:v>441</x:v>
      </x:c>
      <x:c r="C1334" s="32" t="s">
        <x:v>507</x:v>
      </x:c>
      <x:c r="D1334" s="32" t="s">
        <x:v>1521</x:v>
      </x:c>
    </x:row>
    <x:row r="1335" ht="43.5" hidden="0" customHeight="1">
      <x:c r="B1335" s="31" t="s">
        <x:v>441</x:v>
      </x:c>
      <x:c r="C1335" s="31" t="s">
        <x:v>509</x:v>
      </x:c>
      <x:c r="D1335" s="31" t="s">
        <x:v>639</x:v>
      </x:c>
    </x:row>
    <x:row r="1336" ht="34.5" hidden="0" customHeight="1">
      <x:c r="B1336" s="30" t="s">
        <x:v>443</x:v>
      </x:c>
      <x:c r="C1336" s="30" t="s">
        <x:v>497</x:v>
      </x:c>
      <x:c r="D1336" s="30" t="s">
        <x:v>1522</x:v>
      </x:c>
    </x:row>
    <x:row r="1337" ht="57.75" hidden="0" customHeight="1">
      <x:c r="B1337" s="31" t="s">
        <x:v>443</x:v>
      </x:c>
      <x:c r="C1337" s="31" t="s">
        <x:v>499</x:v>
      </x:c>
      <x:c r="D1337" s="31" t="s">
        <x:v>1523</x:v>
      </x:c>
    </x:row>
    <x:row r="1338" ht="43.5" hidden="0" customHeight="1">
      <x:c r="B1338" s="32" t="s">
        <x:v>443</x:v>
      </x:c>
      <x:c r="C1338" s="32" t="s">
        <x:v>501</x:v>
      </x:c>
      <x:c r="D1338" s="32" t="s">
        <x:v>1507</x:v>
      </x:c>
    </x:row>
    <x:row r="1339" ht="129" hidden="0" customHeight="1">
      <x:c r="B1339" s="31" t="s">
        <x:v>443</x:v>
      </x:c>
      <x:c r="C1339" s="31" t="s">
        <x:v>503</x:v>
      </x:c>
      <x:c r="D1339" s="31" t="s">
        <x:v>1524</x:v>
      </x:c>
    </x:row>
    <x:row r="1340" ht="72" hidden="0" customHeight="1">
      <x:c r="B1340" s="32" t="s">
        <x:v>443</x:v>
      </x:c>
      <x:c r="C1340" s="32" t="s">
        <x:v>505</x:v>
      </x:c>
      <x:c r="D1340" s="32" t="s">
        <x:v>1525</x:v>
      </x:c>
    </x:row>
    <x:row r="1341" ht="72" hidden="0" customHeight="1">
      <x:c r="B1341" s="32" t="s">
        <x:v>443</x:v>
      </x:c>
      <x:c r="C1341" s="32" t="s">
        <x:v>507</x:v>
      </x:c>
      <x:c r="D1341" s="32" t="s">
        <x:v>1526</x:v>
      </x:c>
    </x:row>
    <x:row r="1342" ht="43.5" hidden="0" customHeight="1">
      <x:c r="B1342" s="31" t="s">
        <x:v>443</x:v>
      </x:c>
      <x:c r="C1342" s="31" t="s">
        <x:v>509</x:v>
      </x:c>
      <x:c r="D1342" s="31" t="s">
        <x:v>644</x:v>
      </x:c>
    </x:row>
    <x:row r="1343" ht="34.5" hidden="0" customHeight="1">
      <x:c r="B1343" s="30" t="s">
        <x:v>445</x:v>
      </x:c>
      <x:c r="C1343" s="30" t="s">
        <x:v>497</x:v>
      </x:c>
      <x:c r="D1343" s="30" t="s">
        <x:v>446</x:v>
      </x:c>
    </x:row>
    <x:row r="1344" ht="114.75" hidden="0" customHeight="1">
      <x:c r="B1344" s="31" t="s">
        <x:v>445</x:v>
      </x:c>
      <x:c r="C1344" s="31" t="s">
        <x:v>499</x:v>
      </x:c>
      <x:c r="D1344" s="31" t="s">
        <x:v>1527</x:v>
      </x:c>
    </x:row>
    <x:row r="1345" ht="57.75" hidden="0" customHeight="1">
      <x:c r="B1345" s="32" t="s">
        <x:v>445</x:v>
      </x:c>
      <x:c r="C1345" s="32" t="s">
        <x:v>501</x:v>
      </x:c>
      <x:c r="D1345" s="32" t="s">
        <x:v>1528</x:v>
      </x:c>
    </x:row>
    <x:row r="1346" ht="157.5" hidden="0" customHeight="1">
      <x:c r="B1346" s="31" t="s">
        <x:v>445</x:v>
      </x:c>
      <x:c r="C1346" s="31" t="s">
        <x:v>503</x:v>
      </x:c>
      <x:c r="D1346" s="31" t="s">
        <x:v>1529</x:v>
      </x:c>
    </x:row>
    <x:row r="1347" ht="100.5" hidden="0" customHeight="1">
      <x:c r="B1347" s="32" t="s">
        <x:v>445</x:v>
      </x:c>
      <x:c r="C1347" s="32" t="s">
        <x:v>505</x:v>
      </x:c>
      <x:c r="D1347" s="32" t="s">
        <x:v>1530</x:v>
      </x:c>
    </x:row>
    <x:row r="1348" ht="100.5" hidden="0" customHeight="1">
      <x:c r="B1348" s="32" t="s">
        <x:v>445</x:v>
      </x:c>
      <x:c r="C1348" s="32" t="s">
        <x:v>507</x:v>
      </x:c>
      <x:c r="D1348" s="32" t="s">
        <x:v>1531</x:v>
      </x:c>
    </x:row>
    <x:row r="1349" ht="43.5" hidden="0" customHeight="1">
      <x:c r="B1349" s="31" t="s">
        <x:v>445</x:v>
      </x:c>
      <x:c r="C1349" s="31" t="s">
        <x:v>509</x:v>
      </x:c>
      <x:c r="D1349" s="31" t="s">
        <x:v>626</x:v>
      </x:c>
    </x:row>
    <x:row r="1350" ht="43.5" hidden="0" customHeight="1">
      <x:c r="B1350" s="30" t="s">
        <x:v>447</x:v>
      </x:c>
      <x:c r="C1350" s="30" t="s">
        <x:v>497</x:v>
      </x:c>
      <x:c r="D1350" s="30" t="s">
        <x:v>1532</x:v>
      </x:c>
    </x:row>
    <x:row r="1351" ht="100.5" hidden="0" customHeight="1">
      <x:c r="B1351" s="31" t="s">
        <x:v>447</x:v>
      </x:c>
      <x:c r="C1351" s="31" t="s">
        <x:v>499</x:v>
      </x:c>
      <x:c r="D1351" s="31" t="s">
        <x:v>1533</x:v>
      </x:c>
    </x:row>
    <x:row r="1352" ht="57.75" hidden="0" customHeight="1">
      <x:c r="B1352" s="32" t="s">
        <x:v>447</x:v>
      </x:c>
      <x:c r="C1352" s="32" t="s">
        <x:v>501</x:v>
      </x:c>
      <x:c r="D1352" s="32" t="s">
        <x:v>1528</x:v>
      </x:c>
    </x:row>
    <x:row r="1353" ht="171.75" hidden="0" customHeight="1">
      <x:c r="B1353" s="31" t="s">
        <x:v>447</x:v>
      </x:c>
      <x:c r="C1353" s="31" t="s">
        <x:v>503</x:v>
      </x:c>
      <x:c r="D1353" s="31" t="s">
        <x:v>1534</x:v>
      </x:c>
    </x:row>
    <x:row r="1354" ht="143.25" hidden="0" customHeight="1">
      <x:c r="B1354" s="32" t="s">
        <x:v>447</x:v>
      </x:c>
      <x:c r="C1354" s="32" t="s">
        <x:v>505</x:v>
      </x:c>
      <x:c r="D1354" s="32" t="s">
        <x:v>1535</x:v>
      </x:c>
    </x:row>
    <x:row r="1355" ht="143.25" hidden="0" customHeight="1">
      <x:c r="B1355" s="32" t="s">
        <x:v>447</x:v>
      </x:c>
      <x:c r="C1355" s="32" t="s">
        <x:v>507</x:v>
      </x:c>
      <x:c r="D1355" s="32" t="s">
        <x:v>1536</x:v>
      </x:c>
    </x:row>
    <x:row r="1356" ht="90" hidden="0" customHeight="1">
      <x:c r="B1356" s="32" t="s">
        <x:v>447</x:v>
      </x:c>
      <x:c r="C1356" s="32" t="s">
        <x:v>517</x:v>
      </x:c>
      <x:c r="D1356" s="32" t="s">
        <x:v>1537</x:v>
      </x:c>
    </x:row>
    <x:row r="1357" ht="57.75" hidden="0" customHeight="1">
      <x:c r="B1357" s="31" t="s">
        <x:v>447</x:v>
      </x:c>
      <x:c r="C1357" s="31" t="s">
        <x:v>509</x:v>
      </x:c>
      <x:c r="D1357" s="31" t="s">
        <x:v>633</x:v>
      </x:c>
    </x:row>
    <x:row r="1358" ht="43.5" hidden="0" customHeight="1">
      <x:c r="B1358" s="30" t="s">
        <x:v>449</x:v>
      </x:c>
      <x:c r="C1358" s="30" t="s">
        <x:v>497</x:v>
      </x:c>
      <x:c r="D1358" s="30" t="s">
        <x:v>1538</x:v>
      </x:c>
    </x:row>
    <x:row r="1359" ht="114.75" hidden="0" customHeight="1">
      <x:c r="B1359" s="31" t="s">
        <x:v>449</x:v>
      </x:c>
      <x:c r="C1359" s="31" t="s">
        <x:v>499</x:v>
      </x:c>
      <x:c r="D1359" s="31" t="s">
        <x:v>1539</x:v>
      </x:c>
    </x:row>
    <x:row r="1360" ht="57.75" hidden="0" customHeight="1">
      <x:c r="B1360" s="32" t="s">
        <x:v>449</x:v>
      </x:c>
      <x:c r="C1360" s="32" t="s">
        <x:v>501</x:v>
      </x:c>
      <x:c r="D1360" s="32" t="s">
        <x:v>1528</x:v>
      </x:c>
    </x:row>
    <x:row r="1361" ht="186" hidden="0" customHeight="1">
      <x:c r="B1361" s="31" t="s">
        <x:v>449</x:v>
      </x:c>
      <x:c r="C1361" s="31" t="s">
        <x:v>503</x:v>
      </x:c>
      <x:c r="D1361" s="31" t="s">
        <x:v>1540</x:v>
      </x:c>
    </x:row>
    <x:row r="1362" ht="129" hidden="0" customHeight="1">
      <x:c r="B1362" s="32" t="s">
        <x:v>449</x:v>
      </x:c>
      <x:c r="C1362" s="32" t="s">
        <x:v>505</x:v>
      </x:c>
      <x:c r="D1362" s="32" t="s">
        <x:v>1541</x:v>
      </x:c>
    </x:row>
    <x:row r="1363" ht="129" hidden="0" customHeight="1">
      <x:c r="B1363" s="32" t="s">
        <x:v>449</x:v>
      </x:c>
      <x:c r="C1363" s="32" t="s">
        <x:v>507</x:v>
      </x:c>
      <x:c r="D1363" s="32" t="s">
        <x:v>1542</x:v>
      </x:c>
    </x:row>
    <x:row r="1364" ht="43.5" hidden="0" customHeight="1">
      <x:c r="B1364" s="31" t="s">
        <x:v>449</x:v>
      </x:c>
      <x:c r="C1364" s="31" t="s">
        <x:v>509</x:v>
      </x:c>
      <x:c r="D1364" s="31" t="s">
        <x:v>639</x:v>
      </x:c>
    </x:row>
    <x:row r="1365" ht="34.5" hidden="0" customHeight="1">
      <x:c r="B1365" s="30" t="s">
        <x:v>451</x:v>
      </x:c>
      <x:c r="C1365" s="30" t="s">
        <x:v>497</x:v>
      </x:c>
      <x:c r="D1365" s="30" t="s">
        <x:v>1543</x:v>
      </x:c>
    </x:row>
    <x:row r="1366" ht="57.75" hidden="0" customHeight="1">
      <x:c r="B1366" s="31" t="s">
        <x:v>451</x:v>
      </x:c>
      <x:c r="C1366" s="31" t="s">
        <x:v>499</x:v>
      </x:c>
      <x:c r="D1366" s="31" t="s">
        <x:v>1544</x:v>
      </x:c>
    </x:row>
    <x:row r="1367" ht="57.75" hidden="0" customHeight="1">
      <x:c r="B1367" s="32" t="s">
        <x:v>451</x:v>
      </x:c>
      <x:c r="C1367" s="32" t="s">
        <x:v>501</x:v>
      </x:c>
      <x:c r="D1367" s="32" t="s">
        <x:v>1528</x:v>
      </x:c>
    </x:row>
    <x:row r="1368" ht="129" hidden="0" customHeight="1">
      <x:c r="B1368" s="31" t="s">
        <x:v>451</x:v>
      </x:c>
      <x:c r="C1368" s="31" t="s">
        <x:v>503</x:v>
      </x:c>
      <x:c r="D1368" s="31" t="s">
        <x:v>1545</x:v>
      </x:c>
    </x:row>
    <x:row r="1369" ht="72" hidden="0" customHeight="1">
      <x:c r="B1369" s="32" t="s">
        <x:v>451</x:v>
      </x:c>
      <x:c r="C1369" s="32" t="s">
        <x:v>505</x:v>
      </x:c>
      <x:c r="D1369" s="32" t="s">
        <x:v>1546</x:v>
      </x:c>
    </x:row>
    <x:row r="1370" ht="72" hidden="0" customHeight="1">
      <x:c r="B1370" s="32" t="s">
        <x:v>451</x:v>
      </x:c>
      <x:c r="C1370" s="32" t="s">
        <x:v>507</x:v>
      </x:c>
      <x:c r="D1370" s="32" t="s">
        <x:v>1547</x:v>
      </x:c>
    </x:row>
    <x:row r="1371" ht="43.5" hidden="0" customHeight="1">
      <x:c r="B1371" s="31" t="s">
        <x:v>451</x:v>
      </x:c>
      <x:c r="C1371" s="31" t="s">
        <x:v>509</x:v>
      </x:c>
      <x:c r="D1371" s="31" t="s">
        <x:v>644</x:v>
      </x:c>
    </x:row>
    <x:row r="1372" ht="34.5" hidden="0" customHeight="1">
      <x:c r="B1372" s="30" t="s">
        <x:v>453</x:v>
      </x:c>
      <x:c r="C1372" s="30" t="s">
        <x:v>497</x:v>
      </x:c>
      <x:c r="D1372" s="30" t="s">
        <x:v>1548</x:v>
      </x:c>
    </x:row>
    <x:row r="1373" ht="129" hidden="0" customHeight="1">
      <x:c r="B1373" s="31" t="s">
        <x:v>453</x:v>
      </x:c>
      <x:c r="C1373" s="31" t="s">
        <x:v>499</x:v>
      </x:c>
      <x:c r="D1373" s="31" t="s">
        <x:v>1549</x:v>
      </x:c>
    </x:row>
    <x:row r="1374" ht="57.75" hidden="0" customHeight="1">
      <x:c r="B1374" s="32" t="s">
        <x:v>453</x:v>
      </x:c>
      <x:c r="C1374" s="32" t="s">
        <x:v>501</x:v>
      </x:c>
      <x:c r="D1374" s="32" t="s">
        <x:v>1550</x:v>
      </x:c>
    </x:row>
    <x:row r="1375" ht="171.75" hidden="0" customHeight="1">
      <x:c r="B1375" s="31" t="s">
        <x:v>453</x:v>
      </x:c>
      <x:c r="C1375" s="31" t="s">
        <x:v>503</x:v>
      </x:c>
      <x:c r="D1375" s="31" t="s">
        <x:v>1551</x:v>
      </x:c>
    </x:row>
    <x:row r="1376" ht="100.5" hidden="0" customHeight="1">
      <x:c r="B1376" s="32" t="s">
        <x:v>453</x:v>
      </x:c>
      <x:c r="C1376" s="32" t="s">
        <x:v>505</x:v>
      </x:c>
      <x:c r="D1376" s="32" t="s">
        <x:v>1552</x:v>
      </x:c>
    </x:row>
    <x:row r="1377" ht="100.5" hidden="0" customHeight="1">
      <x:c r="B1377" s="32" t="s">
        <x:v>453</x:v>
      </x:c>
      <x:c r="C1377" s="32" t="s">
        <x:v>507</x:v>
      </x:c>
      <x:c r="D1377" s="32" t="s">
        <x:v>1553</x:v>
      </x:c>
    </x:row>
    <x:row r="1378" ht="43.5" hidden="0" customHeight="1">
      <x:c r="B1378" s="31" t="s">
        <x:v>453</x:v>
      </x:c>
      <x:c r="C1378" s="31" t="s">
        <x:v>509</x:v>
      </x:c>
      <x:c r="D1378" s="31" t="s">
        <x:v>626</x:v>
      </x:c>
    </x:row>
    <x:row r="1379" ht="43.5" hidden="0" customHeight="1">
      <x:c r="B1379" s="30" t="s">
        <x:v>455</x:v>
      </x:c>
      <x:c r="C1379" s="30" t="s">
        <x:v>497</x:v>
      </x:c>
      <x:c r="D1379" s="30" t="s">
        <x:v>1554</x:v>
      </x:c>
    </x:row>
    <x:row r="1380" ht="114.75" hidden="0" customHeight="1">
      <x:c r="B1380" s="31" t="s">
        <x:v>455</x:v>
      </x:c>
      <x:c r="C1380" s="31" t="s">
        <x:v>499</x:v>
      </x:c>
      <x:c r="D1380" s="31" t="s">
        <x:v>1555</x:v>
      </x:c>
    </x:row>
    <x:row r="1381" ht="57.75" hidden="0" customHeight="1">
      <x:c r="B1381" s="32" t="s">
        <x:v>455</x:v>
      </x:c>
      <x:c r="C1381" s="32" t="s">
        <x:v>501</x:v>
      </x:c>
      <x:c r="D1381" s="32" t="s">
        <x:v>1550</x:v>
      </x:c>
    </x:row>
    <x:row r="1382" ht="186" hidden="0" customHeight="1">
      <x:c r="B1382" s="31" t="s">
        <x:v>455</x:v>
      </x:c>
      <x:c r="C1382" s="31" t="s">
        <x:v>503</x:v>
      </x:c>
      <x:c r="D1382" s="31" t="s">
        <x:v>1556</x:v>
      </x:c>
    </x:row>
    <x:row r="1383" ht="157.5" hidden="0" customHeight="1">
      <x:c r="B1383" s="32" t="s">
        <x:v>455</x:v>
      </x:c>
      <x:c r="C1383" s="32" t="s">
        <x:v>505</x:v>
      </x:c>
      <x:c r="D1383" s="32" t="s">
        <x:v>1557</x:v>
      </x:c>
    </x:row>
    <x:row r="1384" ht="157.5" hidden="0" customHeight="1">
      <x:c r="B1384" s="32" t="s">
        <x:v>455</x:v>
      </x:c>
      <x:c r="C1384" s="32" t="s">
        <x:v>507</x:v>
      </x:c>
      <x:c r="D1384" s="32" t="s">
        <x:v>1558</x:v>
      </x:c>
    </x:row>
    <x:row r="1385" ht="90" hidden="0" customHeight="1">
      <x:c r="B1385" s="32" t="s">
        <x:v>455</x:v>
      </x:c>
      <x:c r="C1385" s="32" t="s">
        <x:v>517</x:v>
      </x:c>
      <x:c r="D1385" s="32" t="s">
        <x:v>1559</x:v>
      </x:c>
    </x:row>
    <x:row r="1386" ht="57.75" hidden="0" customHeight="1">
      <x:c r="B1386" s="31" t="s">
        <x:v>455</x:v>
      </x:c>
      <x:c r="C1386" s="31" t="s">
        <x:v>509</x:v>
      </x:c>
      <x:c r="D1386" s="31" t="s">
        <x:v>633</x:v>
      </x:c>
    </x:row>
    <x:row r="1387" ht="43.5" hidden="0" customHeight="1">
      <x:c r="B1387" s="30" t="s">
        <x:v>458</x:v>
      </x:c>
      <x:c r="C1387" s="30" t="s">
        <x:v>497</x:v>
      </x:c>
      <x:c r="D1387" s="30" t="s">
        <x:v>1560</x:v>
      </x:c>
    </x:row>
    <x:row r="1388" ht="114.75" hidden="0" customHeight="1">
      <x:c r="B1388" s="31" t="s">
        <x:v>458</x:v>
      </x:c>
      <x:c r="C1388" s="31" t="s">
        <x:v>499</x:v>
      </x:c>
      <x:c r="D1388" s="31" t="s">
        <x:v>1561</x:v>
      </x:c>
    </x:row>
    <x:row r="1389" ht="57.75" hidden="0" customHeight="1">
      <x:c r="B1389" s="32" t="s">
        <x:v>458</x:v>
      </x:c>
      <x:c r="C1389" s="32" t="s">
        <x:v>501</x:v>
      </x:c>
      <x:c r="D1389" s="32" t="s">
        <x:v>1550</x:v>
      </x:c>
    </x:row>
    <x:row r="1390" ht="186" hidden="0" customHeight="1">
      <x:c r="B1390" s="31" t="s">
        <x:v>458</x:v>
      </x:c>
      <x:c r="C1390" s="31" t="s">
        <x:v>503</x:v>
      </x:c>
      <x:c r="D1390" s="31" t="s">
        <x:v>1562</x:v>
      </x:c>
    </x:row>
    <x:row r="1391" ht="129" hidden="0" customHeight="1">
      <x:c r="B1391" s="32" t="s">
        <x:v>458</x:v>
      </x:c>
      <x:c r="C1391" s="32" t="s">
        <x:v>505</x:v>
      </x:c>
      <x:c r="D1391" s="32" t="s">
        <x:v>1563</x:v>
      </x:c>
    </x:row>
    <x:row r="1392" ht="129" hidden="0" customHeight="1">
      <x:c r="B1392" s="32" t="s">
        <x:v>458</x:v>
      </x:c>
      <x:c r="C1392" s="32" t="s">
        <x:v>507</x:v>
      </x:c>
      <x:c r="D1392" s="32" t="s">
        <x:v>1564</x:v>
      </x:c>
    </x:row>
    <x:row r="1393" ht="43.5" hidden="0" customHeight="1">
      <x:c r="B1393" s="31" t="s">
        <x:v>458</x:v>
      </x:c>
      <x:c r="C1393" s="31" t="s">
        <x:v>509</x:v>
      </x:c>
      <x:c r="D1393" s="31" t="s">
        <x:v>639</x:v>
      </x:c>
    </x:row>
    <x:row r="1394" ht="43.5" hidden="0" customHeight="1">
      <x:c r="B1394" s="30" t="s">
        <x:v>460</x:v>
      </x:c>
      <x:c r="C1394" s="30" t="s">
        <x:v>497</x:v>
      </x:c>
      <x:c r="D1394" s="30" t="s">
        <x:v>1565</x:v>
      </x:c>
    </x:row>
    <x:row r="1395" ht="72" hidden="0" customHeight="1">
      <x:c r="B1395" s="31" t="s">
        <x:v>460</x:v>
      </x:c>
      <x:c r="C1395" s="31" t="s">
        <x:v>499</x:v>
      </x:c>
      <x:c r="D1395" s="31" t="s">
        <x:v>1566</x:v>
      </x:c>
    </x:row>
    <x:row r="1396" ht="57.75" hidden="0" customHeight="1">
      <x:c r="B1396" s="32" t="s">
        <x:v>460</x:v>
      </x:c>
      <x:c r="C1396" s="32" t="s">
        <x:v>501</x:v>
      </x:c>
      <x:c r="D1396" s="32" t="s">
        <x:v>1550</x:v>
      </x:c>
    </x:row>
    <x:row r="1397" ht="129" hidden="0" customHeight="1">
      <x:c r="B1397" s="31" t="s">
        <x:v>460</x:v>
      </x:c>
      <x:c r="C1397" s="31" t="s">
        <x:v>503</x:v>
      </x:c>
      <x:c r="D1397" s="31" t="s">
        <x:v>1567</x:v>
      </x:c>
    </x:row>
    <x:row r="1398" ht="72" hidden="0" customHeight="1">
      <x:c r="B1398" s="32" t="s">
        <x:v>460</x:v>
      </x:c>
      <x:c r="C1398" s="32" t="s">
        <x:v>505</x:v>
      </x:c>
      <x:c r="D1398" s="32" t="s">
        <x:v>1568</x:v>
      </x:c>
    </x:row>
    <x:row r="1399" ht="72" hidden="0" customHeight="1">
      <x:c r="B1399" s="32" t="s">
        <x:v>460</x:v>
      </x:c>
      <x:c r="C1399" s="32" t="s">
        <x:v>507</x:v>
      </x:c>
      <x:c r="D1399" s="32" t="s">
        <x:v>1569</x:v>
      </x:c>
    </x:row>
    <x:row r="1400" ht="43.5" hidden="0" customHeight="1">
      <x:c r="B1400" s="31" t="s">
        <x:v>460</x:v>
      </x:c>
      <x:c r="C1400" s="31" t="s">
        <x:v>509</x:v>
      </x:c>
      <x:c r="D1400" s="31" t="s">
        <x:v>711</x:v>
      </x:c>
    </x:row>
    <x:row r="1401" ht="34.5" hidden="0" customHeight="1">
      <x:c r="B1401" s="30" t="s">
        <x:v>462</x:v>
      </x:c>
      <x:c r="C1401" s="30" t="s">
        <x:v>497</x:v>
      </x:c>
      <x:c r="D1401" s="30" t="s">
        <x:v>1570</x:v>
      </x:c>
    </x:row>
    <x:row r="1402" ht="114.75" hidden="0" customHeight="1">
      <x:c r="B1402" s="31" t="s">
        <x:v>462</x:v>
      </x:c>
      <x:c r="C1402" s="31" t="s">
        <x:v>499</x:v>
      </x:c>
      <x:c r="D1402" s="31" t="s">
        <x:v>1571</x:v>
      </x:c>
    </x:row>
    <x:row r="1403" ht="57.75" hidden="0" customHeight="1">
      <x:c r="B1403" s="32" t="s">
        <x:v>462</x:v>
      </x:c>
      <x:c r="C1403" s="32" t="s">
        <x:v>501</x:v>
      </x:c>
      <x:c r="D1403" s="32" t="s">
        <x:v>1572</x:v>
      </x:c>
    </x:row>
    <x:row r="1404" ht="157.5" hidden="0" customHeight="1">
      <x:c r="B1404" s="31" t="s">
        <x:v>462</x:v>
      </x:c>
      <x:c r="C1404" s="31" t="s">
        <x:v>503</x:v>
      </x:c>
      <x:c r="D1404" s="31" t="s">
        <x:v>1573</x:v>
      </x:c>
    </x:row>
    <x:row r="1405" ht="100.5" hidden="0" customHeight="1">
      <x:c r="B1405" s="32" t="s">
        <x:v>462</x:v>
      </x:c>
      <x:c r="C1405" s="32" t="s">
        <x:v>505</x:v>
      </x:c>
      <x:c r="D1405" s="32" t="s">
        <x:v>1574</x:v>
      </x:c>
    </x:row>
    <x:row r="1406" ht="100.5" hidden="0" customHeight="1">
      <x:c r="B1406" s="32" t="s">
        <x:v>462</x:v>
      </x:c>
      <x:c r="C1406" s="32" t="s">
        <x:v>507</x:v>
      </x:c>
      <x:c r="D1406" s="32" t="s">
        <x:v>1575</x:v>
      </x:c>
    </x:row>
    <x:row r="1407" ht="43.5" hidden="0" customHeight="1">
      <x:c r="B1407" s="31" t="s">
        <x:v>462</x:v>
      </x:c>
      <x:c r="C1407" s="31" t="s">
        <x:v>509</x:v>
      </x:c>
      <x:c r="D1407" s="31" t="s">
        <x:v>626</x:v>
      </x:c>
    </x:row>
    <x:row r="1408" ht="43.5" hidden="0" customHeight="1">
      <x:c r="B1408" s="30" t="s">
        <x:v>464</x:v>
      </x:c>
      <x:c r="C1408" s="30" t="s">
        <x:v>497</x:v>
      </x:c>
      <x:c r="D1408" s="30" t="s">
        <x:v>1576</x:v>
      </x:c>
    </x:row>
    <x:row r="1409" ht="100.5" hidden="0" customHeight="1">
      <x:c r="B1409" s="31" t="s">
        <x:v>464</x:v>
      </x:c>
      <x:c r="C1409" s="31" t="s">
        <x:v>499</x:v>
      </x:c>
      <x:c r="D1409" s="31" t="s">
        <x:v>1577</x:v>
      </x:c>
    </x:row>
    <x:row r="1410" ht="57.75" hidden="0" customHeight="1">
      <x:c r="B1410" s="32" t="s">
        <x:v>464</x:v>
      </x:c>
      <x:c r="C1410" s="32" t="s">
        <x:v>501</x:v>
      </x:c>
      <x:c r="D1410" s="32" t="s">
        <x:v>1572</x:v>
      </x:c>
    </x:row>
    <x:row r="1411" ht="171.75" hidden="0" customHeight="1">
      <x:c r="B1411" s="31" t="s">
        <x:v>464</x:v>
      </x:c>
      <x:c r="C1411" s="31" t="s">
        <x:v>503</x:v>
      </x:c>
      <x:c r="D1411" s="31" t="s">
        <x:v>1578</x:v>
      </x:c>
    </x:row>
    <x:row r="1412" ht="143.25" hidden="0" customHeight="1">
      <x:c r="B1412" s="32" t="s">
        <x:v>464</x:v>
      </x:c>
      <x:c r="C1412" s="32" t="s">
        <x:v>505</x:v>
      </x:c>
      <x:c r="D1412" s="32" t="s">
        <x:v>1579</x:v>
      </x:c>
    </x:row>
    <x:row r="1413" ht="143.25" hidden="0" customHeight="1">
      <x:c r="B1413" s="32" t="s">
        <x:v>464</x:v>
      </x:c>
      <x:c r="C1413" s="32" t="s">
        <x:v>507</x:v>
      </x:c>
      <x:c r="D1413" s="32" t="s">
        <x:v>1580</x:v>
      </x:c>
    </x:row>
    <x:row r="1414" ht="90" hidden="0" customHeight="1">
      <x:c r="B1414" s="32" t="s">
        <x:v>464</x:v>
      </x:c>
      <x:c r="C1414" s="32" t="s">
        <x:v>517</x:v>
      </x:c>
      <x:c r="D1414" s="32" t="s">
        <x:v>1581</x:v>
      </x:c>
    </x:row>
    <x:row r="1415" ht="57.75" hidden="0" customHeight="1">
      <x:c r="B1415" s="31" t="s">
        <x:v>464</x:v>
      </x:c>
      <x:c r="C1415" s="31" t="s">
        <x:v>509</x:v>
      </x:c>
      <x:c r="D1415" s="31" t="s">
        <x:v>633</x:v>
      </x:c>
    </x:row>
    <x:row r="1416" ht="43.5" hidden="0" customHeight="1">
      <x:c r="B1416" s="30" t="s">
        <x:v>466</x:v>
      </x:c>
      <x:c r="C1416" s="30" t="s">
        <x:v>497</x:v>
      </x:c>
      <x:c r="D1416" s="30" t="s">
        <x:v>1582</x:v>
      </x:c>
    </x:row>
    <x:row r="1417" ht="114.75" hidden="0" customHeight="1">
      <x:c r="B1417" s="31" t="s">
        <x:v>466</x:v>
      </x:c>
      <x:c r="C1417" s="31" t="s">
        <x:v>499</x:v>
      </x:c>
      <x:c r="D1417" s="31" t="s">
        <x:v>1583</x:v>
      </x:c>
    </x:row>
    <x:row r="1418" ht="57.75" hidden="0" customHeight="1">
      <x:c r="B1418" s="32" t="s">
        <x:v>466</x:v>
      </x:c>
      <x:c r="C1418" s="32" t="s">
        <x:v>501</x:v>
      </x:c>
      <x:c r="D1418" s="32" t="s">
        <x:v>1572</x:v>
      </x:c>
    </x:row>
    <x:row r="1419" ht="186" hidden="0" customHeight="1">
      <x:c r="B1419" s="31" t="s">
        <x:v>466</x:v>
      </x:c>
      <x:c r="C1419" s="31" t="s">
        <x:v>503</x:v>
      </x:c>
      <x:c r="D1419" s="31" t="s">
        <x:v>1584</x:v>
      </x:c>
    </x:row>
    <x:row r="1420" ht="129" hidden="0" customHeight="1">
      <x:c r="B1420" s="32" t="s">
        <x:v>466</x:v>
      </x:c>
      <x:c r="C1420" s="32" t="s">
        <x:v>505</x:v>
      </x:c>
      <x:c r="D1420" s="32" t="s">
        <x:v>1585</x:v>
      </x:c>
    </x:row>
    <x:row r="1421" ht="129" hidden="0" customHeight="1">
      <x:c r="B1421" s="32" t="s">
        <x:v>466</x:v>
      </x:c>
      <x:c r="C1421" s="32" t="s">
        <x:v>507</x:v>
      </x:c>
      <x:c r="D1421" s="32" t="s">
        <x:v>1586</x:v>
      </x:c>
    </x:row>
    <x:row r="1422" ht="43.5" hidden="0" customHeight="1">
      <x:c r="B1422" s="31" t="s">
        <x:v>466</x:v>
      </x:c>
      <x:c r="C1422" s="31" t="s">
        <x:v>509</x:v>
      </x:c>
      <x:c r="D1422" s="31" t="s">
        <x:v>639</x:v>
      </x:c>
    </x:row>
    <x:row r="1423" ht="34.5" hidden="0" customHeight="1">
      <x:c r="B1423" s="30" t="s">
        <x:v>468</x:v>
      </x:c>
      <x:c r="C1423" s="30" t="s">
        <x:v>497</x:v>
      </x:c>
      <x:c r="D1423" s="30" t="s">
        <x:v>1587</x:v>
      </x:c>
    </x:row>
    <x:row r="1424" ht="57.75" hidden="0" customHeight="1">
      <x:c r="B1424" s="31" t="s">
        <x:v>468</x:v>
      </x:c>
      <x:c r="C1424" s="31" t="s">
        <x:v>499</x:v>
      </x:c>
      <x:c r="D1424" s="31" t="s">
        <x:v>1588</x:v>
      </x:c>
    </x:row>
    <x:row r="1425" ht="57.75" hidden="0" customHeight="1">
      <x:c r="B1425" s="32" t="s">
        <x:v>468</x:v>
      </x:c>
      <x:c r="C1425" s="32" t="s">
        <x:v>501</x:v>
      </x:c>
      <x:c r="D1425" s="32" t="s">
        <x:v>1572</x:v>
      </x:c>
    </x:row>
    <x:row r="1426" ht="129" hidden="0" customHeight="1">
      <x:c r="B1426" s="31" t="s">
        <x:v>468</x:v>
      </x:c>
      <x:c r="C1426" s="31" t="s">
        <x:v>503</x:v>
      </x:c>
      <x:c r="D1426" s="31" t="s">
        <x:v>1589</x:v>
      </x:c>
    </x:row>
    <x:row r="1427" ht="72" hidden="0" customHeight="1">
      <x:c r="B1427" s="32" t="s">
        <x:v>468</x:v>
      </x:c>
      <x:c r="C1427" s="32" t="s">
        <x:v>505</x:v>
      </x:c>
      <x:c r="D1427" s="32" t="s">
        <x:v>1590</x:v>
      </x:c>
    </x:row>
    <x:row r="1428" ht="72" hidden="0" customHeight="1">
      <x:c r="B1428" s="32" t="s">
        <x:v>468</x:v>
      </x:c>
      <x:c r="C1428" s="32" t="s">
        <x:v>507</x:v>
      </x:c>
      <x:c r="D1428" s="32" t="s">
        <x:v>1591</x:v>
      </x:c>
    </x:row>
    <x:row r="1429" ht="43.5" hidden="0" customHeight="1">
      <x:c r="B1429" s="31" t="s">
        <x:v>468</x:v>
      </x:c>
      <x:c r="C1429" s="31" t="s">
        <x:v>509</x:v>
      </x:c>
      <x:c r="D1429" s="31" t="s">
        <x:v>644</x:v>
      </x:c>
    </x:row>
    <x:row r="1430" ht="34.5" hidden="0" customHeight="1">
      <x:c r="B1430" s="30" t="s">
        <x:v>470</x:v>
      </x:c>
      <x:c r="C1430" s="30" t="s">
        <x:v>497</x:v>
      </x:c>
      <x:c r="D1430" s="30" t="s">
        <x:v>1592</x:v>
      </x:c>
    </x:row>
    <x:row r="1431" ht="129" hidden="0" customHeight="1">
      <x:c r="B1431" s="31" t="s">
        <x:v>470</x:v>
      </x:c>
      <x:c r="C1431" s="31" t="s">
        <x:v>499</x:v>
      </x:c>
      <x:c r="D1431" s="31" t="s">
        <x:v>1593</x:v>
      </x:c>
    </x:row>
    <x:row r="1432" ht="43.5" hidden="0" customHeight="1">
      <x:c r="B1432" s="32" t="s">
        <x:v>470</x:v>
      </x:c>
      <x:c r="C1432" s="32" t="s">
        <x:v>501</x:v>
      </x:c>
      <x:c r="D1432" s="32" t="s">
        <x:v>1594</x:v>
      </x:c>
    </x:row>
    <x:row r="1433" ht="171.75" hidden="0" customHeight="1">
      <x:c r="B1433" s="31" t="s">
        <x:v>470</x:v>
      </x:c>
      <x:c r="C1433" s="31" t="s">
        <x:v>503</x:v>
      </x:c>
      <x:c r="D1433" s="31" t="s">
        <x:v>1595</x:v>
      </x:c>
    </x:row>
    <x:row r="1434" ht="100.5" hidden="0" customHeight="1">
      <x:c r="B1434" s="32" t="s">
        <x:v>470</x:v>
      </x:c>
      <x:c r="C1434" s="32" t="s">
        <x:v>505</x:v>
      </x:c>
      <x:c r="D1434" s="32" t="s">
        <x:v>1596</x:v>
      </x:c>
    </x:row>
    <x:row r="1435" ht="100.5" hidden="0" customHeight="1">
      <x:c r="B1435" s="32" t="s">
        <x:v>470</x:v>
      </x:c>
      <x:c r="C1435" s="32" t="s">
        <x:v>507</x:v>
      </x:c>
      <x:c r="D1435" s="32" t="s">
        <x:v>1597</x:v>
      </x:c>
    </x:row>
    <x:row r="1436" ht="43.5" hidden="0" customHeight="1">
      <x:c r="B1436" s="31" t="s">
        <x:v>470</x:v>
      </x:c>
      <x:c r="C1436" s="31" t="s">
        <x:v>509</x:v>
      </x:c>
      <x:c r="D1436" s="31" t="s">
        <x:v>626</x:v>
      </x:c>
    </x:row>
    <x:row r="1437" ht="43.5" hidden="0" customHeight="1">
      <x:c r="B1437" s="30" t="s">
        <x:v>472</x:v>
      </x:c>
      <x:c r="C1437" s="30" t="s">
        <x:v>497</x:v>
      </x:c>
      <x:c r="D1437" s="30" t="s">
        <x:v>1598</x:v>
      </x:c>
    </x:row>
    <x:row r="1438" ht="114.75" hidden="0" customHeight="1">
      <x:c r="B1438" s="31" t="s">
        <x:v>472</x:v>
      </x:c>
      <x:c r="C1438" s="31" t="s">
        <x:v>499</x:v>
      </x:c>
      <x:c r="D1438" s="31" t="s">
        <x:v>1599</x:v>
      </x:c>
    </x:row>
    <x:row r="1439" ht="43.5" hidden="0" customHeight="1">
      <x:c r="B1439" s="32" t="s">
        <x:v>472</x:v>
      </x:c>
      <x:c r="C1439" s="32" t="s">
        <x:v>501</x:v>
      </x:c>
      <x:c r="D1439" s="32" t="s">
        <x:v>1594</x:v>
      </x:c>
    </x:row>
    <x:row r="1440" ht="186" hidden="0" customHeight="1">
      <x:c r="B1440" s="31" t="s">
        <x:v>472</x:v>
      </x:c>
      <x:c r="C1440" s="31" t="s">
        <x:v>503</x:v>
      </x:c>
      <x:c r="D1440" s="31" t="s">
        <x:v>1600</x:v>
      </x:c>
    </x:row>
    <x:row r="1441" ht="157.5" hidden="0" customHeight="1">
      <x:c r="B1441" s="32" t="s">
        <x:v>472</x:v>
      </x:c>
      <x:c r="C1441" s="32" t="s">
        <x:v>505</x:v>
      </x:c>
      <x:c r="D1441" s="32" t="s">
        <x:v>1601</x:v>
      </x:c>
    </x:row>
    <x:row r="1442" ht="157.5" hidden="0" customHeight="1">
      <x:c r="B1442" s="32" t="s">
        <x:v>472</x:v>
      </x:c>
      <x:c r="C1442" s="32" t="s">
        <x:v>507</x:v>
      </x:c>
      <x:c r="D1442" s="32" t="s">
        <x:v>1602</x:v>
      </x:c>
    </x:row>
    <x:row r="1443" ht="90" hidden="0" customHeight="1">
      <x:c r="B1443" s="32" t="s">
        <x:v>472</x:v>
      </x:c>
      <x:c r="C1443" s="32" t="s">
        <x:v>517</x:v>
      </x:c>
      <x:c r="D1443" s="32" t="s">
        <x:v>1603</x:v>
      </x:c>
    </x:row>
    <x:row r="1444" ht="57.75" hidden="0" customHeight="1">
      <x:c r="B1444" s="31" t="s">
        <x:v>472</x:v>
      </x:c>
      <x:c r="C1444" s="31" t="s">
        <x:v>509</x:v>
      </x:c>
      <x:c r="D1444" s="31" t="s">
        <x:v>633</x:v>
      </x:c>
    </x:row>
    <x:row r="1445" ht="43.5" hidden="0" customHeight="1">
      <x:c r="B1445" s="30" t="s">
        <x:v>474</x:v>
      </x:c>
      <x:c r="C1445" s="30" t="s">
        <x:v>497</x:v>
      </x:c>
      <x:c r="D1445" s="30" t="s">
        <x:v>1604</x:v>
      </x:c>
    </x:row>
    <x:row r="1446" ht="114.75" hidden="0" customHeight="1">
      <x:c r="B1446" s="31" t="s">
        <x:v>474</x:v>
      </x:c>
      <x:c r="C1446" s="31" t="s">
        <x:v>499</x:v>
      </x:c>
      <x:c r="D1446" s="31" t="s">
        <x:v>1605</x:v>
      </x:c>
    </x:row>
    <x:row r="1447" ht="43.5" hidden="0" customHeight="1">
      <x:c r="B1447" s="32" t="s">
        <x:v>474</x:v>
      </x:c>
      <x:c r="C1447" s="32" t="s">
        <x:v>501</x:v>
      </x:c>
      <x:c r="D1447" s="32" t="s">
        <x:v>1594</x:v>
      </x:c>
    </x:row>
    <x:row r="1448" ht="186" hidden="0" customHeight="1">
      <x:c r="B1448" s="31" t="s">
        <x:v>474</x:v>
      </x:c>
      <x:c r="C1448" s="31" t="s">
        <x:v>503</x:v>
      </x:c>
      <x:c r="D1448" s="31" t="s">
        <x:v>1606</x:v>
      </x:c>
    </x:row>
    <x:row r="1449" ht="129" hidden="0" customHeight="1">
      <x:c r="B1449" s="32" t="s">
        <x:v>474</x:v>
      </x:c>
      <x:c r="C1449" s="32" t="s">
        <x:v>505</x:v>
      </x:c>
      <x:c r="D1449" s="32" t="s">
        <x:v>1607</x:v>
      </x:c>
    </x:row>
    <x:row r="1450" ht="129" hidden="0" customHeight="1">
      <x:c r="B1450" s="32" t="s">
        <x:v>474</x:v>
      </x:c>
      <x:c r="C1450" s="32" t="s">
        <x:v>507</x:v>
      </x:c>
      <x:c r="D1450" s="32" t="s">
        <x:v>1608</x:v>
      </x:c>
    </x:row>
    <x:row r="1451" ht="43.5" hidden="0" customHeight="1">
      <x:c r="B1451" s="31" t="s">
        <x:v>474</x:v>
      </x:c>
      <x:c r="C1451" s="31" t="s">
        <x:v>509</x:v>
      </x:c>
      <x:c r="D1451" s="31" t="s">
        <x:v>639</x:v>
      </x:c>
    </x:row>
    <x:row r="1452" ht="34.5" hidden="0" customHeight="1">
      <x:c r="B1452" s="30" t="s">
        <x:v>476</x:v>
      </x:c>
      <x:c r="C1452" s="30" t="s">
        <x:v>497</x:v>
      </x:c>
      <x:c r="D1452" s="30" t="s">
        <x:v>1609</x:v>
      </x:c>
    </x:row>
    <x:row r="1453" ht="57.75" hidden="0" customHeight="1">
      <x:c r="B1453" s="31" t="s">
        <x:v>476</x:v>
      </x:c>
      <x:c r="C1453" s="31" t="s">
        <x:v>499</x:v>
      </x:c>
      <x:c r="D1453" s="31" t="s">
        <x:v>1610</x:v>
      </x:c>
    </x:row>
    <x:row r="1454" ht="43.5" hidden="0" customHeight="1">
      <x:c r="B1454" s="32" t="s">
        <x:v>476</x:v>
      </x:c>
      <x:c r="C1454" s="32" t="s">
        <x:v>501</x:v>
      </x:c>
      <x:c r="D1454" s="32" t="s">
        <x:v>1594</x:v>
      </x:c>
    </x:row>
    <x:row r="1455" ht="129" hidden="0" customHeight="1">
      <x:c r="B1455" s="31" t="s">
        <x:v>476</x:v>
      </x:c>
      <x:c r="C1455" s="31" t="s">
        <x:v>503</x:v>
      </x:c>
      <x:c r="D1455" s="31" t="s">
        <x:v>1611</x:v>
      </x:c>
    </x:row>
    <x:row r="1456" ht="72" hidden="0" customHeight="1">
      <x:c r="B1456" s="32" t="s">
        <x:v>476</x:v>
      </x:c>
      <x:c r="C1456" s="32" t="s">
        <x:v>505</x:v>
      </x:c>
      <x:c r="D1456" s="32" t="s">
        <x:v>1612</x:v>
      </x:c>
    </x:row>
    <x:row r="1457" ht="72" hidden="0" customHeight="1">
      <x:c r="B1457" s="32" t="s">
        <x:v>476</x:v>
      </x:c>
      <x:c r="C1457" s="32" t="s">
        <x:v>507</x:v>
      </x:c>
      <x:c r="D1457" s="32" t="s">
        <x:v>1613</x:v>
      </x:c>
    </x:row>
    <x:row r="1458" ht="43.5" hidden="0" customHeight="1">
      <x:c r="B1458" s="31" t="s">
        <x:v>476</x:v>
      </x:c>
      <x:c r="C1458" s="31" t="s">
        <x:v>509</x:v>
      </x:c>
      <x:c r="D1458" s="31" t="s">
        <x:v>644</x:v>
      </x:c>
    </x:row>
    <x:row r="1459" ht="34.5" hidden="0" customHeight="1">
      <x:c r="B1459" s="30" t="s">
        <x:v>478</x:v>
      </x:c>
      <x:c r="C1459" s="30" t="s">
        <x:v>497</x:v>
      </x:c>
      <x:c r="D1459" s="30" t="s">
        <x:v>1614</x:v>
      </x:c>
    </x:row>
    <x:row r="1460" ht="129" hidden="0" customHeight="1">
      <x:c r="B1460" s="31" t="s">
        <x:v>478</x:v>
      </x:c>
      <x:c r="C1460" s="31" t="s">
        <x:v>499</x:v>
      </x:c>
      <x:c r="D1460" s="31" t="s">
        <x:v>1615</x:v>
      </x:c>
    </x:row>
    <x:row r="1461" ht="57.75" hidden="0" customHeight="1">
      <x:c r="B1461" s="32" t="s">
        <x:v>478</x:v>
      </x:c>
      <x:c r="C1461" s="32" t="s">
        <x:v>501</x:v>
      </x:c>
      <x:c r="D1461" s="32" t="s">
        <x:v>1616</x:v>
      </x:c>
    </x:row>
    <x:row r="1462" ht="171.75" hidden="0" customHeight="1">
      <x:c r="B1462" s="31" t="s">
        <x:v>478</x:v>
      </x:c>
      <x:c r="C1462" s="31" t="s">
        <x:v>503</x:v>
      </x:c>
      <x:c r="D1462" s="31" t="s">
        <x:v>1617</x:v>
      </x:c>
    </x:row>
    <x:row r="1463" ht="100.5" hidden="0" customHeight="1">
      <x:c r="B1463" s="32" t="s">
        <x:v>478</x:v>
      </x:c>
      <x:c r="C1463" s="32" t="s">
        <x:v>505</x:v>
      </x:c>
      <x:c r="D1463" s="32" t="s">
        <x:v>1618</x:v>
      </x:c>
    </x:row>
    <x:row r="1464" ht="100.5" hidden="0" customHeight="1">
      <x:c r="B1464" s="32" t="s">
        <x:v>478</x:v>
      </x:c>
      <x:c r="C1464" s="32" t="s">
        <x:v>507</x:v>
      </x:c>
      <x:c r="D1464" s="32" t="s">
        <x:v>1619</x:v>
      </x:c>
    </x:row>
    <x:row r="1465" ht="43.5" hidden="0" customHeight="1">
      <x:c r="B1465" s="31" t="s">
        <x:v>478</x:v>
      </x:c>
      <x:c r="C1465" s="31" t="s">
        <x:v>509</x:v>
      </x:c>
      <x:c r="D1465" s="31" t="s">
        <x:v>626</x:v>
      </x:c>
    </x:row>
    <x:row r="1466" ht="43.5" hidden="0" customHeight="1">
      <x:c r="B1466" s="30" t="s">
        <x:v>480</x:v>
      </x:c>
      <x:c r="C1466" s="30" t="s">
        <x:v>497</x:v>
      </x:c>
      <x:c r="D1466" s="30" t="s">
        <x:v>1620</x:v>
      </x:c>
    </x:row>
    <x:row r="1467" ht="114.75" hidden="0" customHeight="1">
      <x:c r="B1467" s="31" t="s">
        <x:v>480</x:v>
      </x:c>
      <x:c r="C1467" s="31" t="s">
        <x:v>499</x:v>
      </x:c>
      <x:c r="D1467" s="31" t="s">
        <x:v>1621</x:v>
      </x:c>
    </x:row>
    <x:row r="1468" ht="57.75" hidden="0" customHeight="1">
      <x:c r="B1468" s="32" t="s">
        <x:v>480</x:v>
      </x:c>
      <x:c r="C1468" s="32" t="s">
        <x:v>501</x:v>
      </x:c>
      <x:c r="D1468" s="32" t="s">
        <x:v>1616</x:v>
      </x:c>
    </x:row>
    <x:row r="1469" ht="186" hidden="0" customHeight="1">
      <x:c r="B1469" s="31" t="s">
        <x:v>480</x:v>
      </x:c>
      <x:c r="C1469" s="31" t="s">
        <x:v>503</x:v>
      </x:c>
      <x:c r="D1469" s="31" t="s">
        <x:v>1622</x:v>
      </x:c>
    </x:row>
    <x:row r="1470" ht="157.5" hidden="0" customHeight="1">
      <x:c r="B1470" s="32" t="s">
        <x:v>480</x:v>
      </x:c>
      <x:c r="C1470" s="32" t="s">
        <x:v>505</x:v>
      </x:c>
      <x:c r="D1470" s="32" t="s">
        <x:v>1623</x:v>
      </x:c>
    </x:row>
    <x:row r="1471" ht="157.5" hidden="0" customHeight="1">
      <x:c r="B1471" s="32" t="s">
        <x:v>480</x:v>
      </x:c>
      <x:c r="C1471" s="32" t="s">
        <x:v>507</x:v>
      </x:c>
      <x:c r="D1471" s="32" t="s">
        <x:v>1624</x:v>
      </x:c>
    </x:row>
    <x:row r="1472" ht="90" hidden="0" customHeight="1">
      <x:c r="B1472" s="32" t="s">
        <x:v>480</x:v>
      </x:c>
      <x:c r="C1472" s="32" t="s">
        <x:v>517</x:v>
      </x:c>
      <x:c r="D1472" s="32" t="s">
        <x:v>1625</x:v>
      </x:c>
    </x:row>
    <x:row r="1473" ht="57.75" hidden="0" customHeight="1">
      <x:c r="B1473" s="31" t="s">
        <x:v>480</x:v>
      </x:c>
      <x:c r="C1473" s="31" t="s">
        <x:v>509</x:v>
      </x:c>
      <x:c r="D1473" s="31" t="s">
        <x:v>633</x:v>
      </x:c>
    </x:row>
    <x:row r="1474" ht="43.5" hidden="0" customHeight="1">
      <x:c r="B1474" s="30" t="s">
        <x:v>482</x:v>
      </x:c>
      <x:c r="C1474" s="30" t="s">
        <x:v>497</x:v>
      </x:c>
      <x:c r="D1474" s="30" t="s">
        <x:v>1626</x:v>
      </x:c>
    </x:row>
    <x:row r="1475" ht="114.75" hidden="0" customHeight="1">
      <x:c r="B1475" s="31" t="s">
        <x:v>482</x:v>
      </x:c>
      <x:c r="C1475" s="31" t="s">
        <x:v>499</x:v>
      </x:c>
      <x:c r="D1475" s="31" t="s">
        <x:v>1627</x:v>
      </x:c>
    </x:row>
    <x:row r="1476" ht="57.75" hidden="0" customHeight="1">
      <x:c r="B1476" s="32" t="s">
        <x:v>482</x:v>
      </x:c>
      <x:c r="C1476" s="32" t="s">
        <x:v>501</x:v>
      </x:c>
      <x:c r="D1476" s="32" t="s">
        <x:v>1616</x:v>
      </x:c>
    </x:row>
    <x:row r="1477" ht="186" hidden="0" customHeight="1">
      <x:c r="B1477" s="31" t="s">
        <x:v>482</x:v>
      </x:c>
      <x:c r="C1477" s="31" t="s">
        <x:v>503</x:v>
      </x:c>
      <x:c r="D1477" s="31" t="s">
        <x:v>1628</x:v>
      </x:c>
    </x:row>
    <x:row r="1478" ht="129" hidden="0" customHeight="1">
      <x:c r="B1478" s="32" t="s">
        <x:v>482</x:v>
      </x:c>
      <x:c r="C1478" s="32" t="s">
        <x:v>505</x:v>
      </x:c>
      <x:c r="D1478" s="32" t="s">
        <x:v>1629</x:v>
      </x:c>
    </x:row>
    <x:row r="1479" ht="129" hidden="0" customHeight="1">
      <x:c r="B1479" s="32" t="s">
        <x:v>482</x:v>
      </x:c>
      <x:c r="C1479" s="32" t="s">
        <x:v>507</x:v>
      </x:c>
      <x:c r="D1479" s="32" t="s">
        <x:v>1630</x:v>
      </x:c>
    </x:row>
    <x:row r="1480" ht="43.5" hidden="0" customHeight="1">
      <x:c r="B1480" s="31" t="s">
        <x:v>482</x:v>
      </x:c>
      <x:c r="C1480" s="31" t="s">
        <x:v>509</x:v>
      </x:c>
      <x:c r="D1480" s="31" t="s">
        <x:v>639</x:v>
      </x:c>
    </x:row>
    <x:row r="1481" ht="34.5" hidden="0" customHeight="1">
      <x:c r="B1481" s="30" t="s">
        <x:v>484</x:v>
      </x:c>
      <x:c r="C1481" s="30" t="s">
        <x:v>497</x:v>
      </x:c>
      <x:c r="D1481" s="30" t="s">
        <x:v>485</x:v>
      </x:c>
    </x:row>
    <x:row r="1482" ht="57.75" hidden="0" customHeight="1">
      <x:c r="B1482" s="31" t="s">
        <x:v>484</x:v>
      </x:c>
      <x:c r="C1482" s="31" t="s">
        <x:v>499</x:v>
      </x:c>
      <x:c r="D1482" s="31" t="s">
        <x:v>1631</x:v>
      </x:c>
    </x:row>
    <x:row r="1483" ht="57.75" hidden="0" customHeight="1">
      <x:c r="B1483" s="32" t="s">
        <x:v>484</x:v>
      </x:c>
      <x:c r="C1483" s="32" t="s">
        <x:v>501</x:v>
      </x:c>
      <x:c r="D1483" s="32" t="s">
        <x:v>1616</x:v>
      </x:c>
    </x:row>
    <x:row r="1484" ht="129" hidden="0" customHeight="1">
      <x:c r="B1484" s="31" t="s">
        <x:v>484</x:v>
      </x:c>
      <x:c r="C1484" s="31" t="s">
        <x:v>503</x:v>
      </x:c>
      <x:c r="D1484" s="31" t="s">
        <x:v>1632</x:v>
      </x:c>
    </x:row>
    <x:row r="1485" ht="72" hidden="0" customHeight="1">
      <x:c r="B1485" s="32" t="s">
        <x:v>484</x:v>
      </x:c>
      <x:c r="C1485" s="32" t="s">
        <x:v>505</x:v>
      </x:c>
      <x:c r="D1485" s="32" t="s">
        <x:v>1633</x:v>
      </x:c>
    </x:row>
    <x:row r="1486" ht="72" hidden="0" customHeight="1">
      <x:c r="B1486" s="32" t="s">
        <x:v>484</x:v>
      </x:c>
      <x:c r="C1486" s="32" t="s">
        <x:v>507</x:v>
      </x:c>
      <x:c r="D1486" s="32" t="s">
        <x:v>1634</x:v>
      </x:c>
    </x:row>
    <x:row r="1487" ht="43.5" hidden="0" customHeight="1">
      <x:c r="B1487" s="31" t="s">
        <x:v>484</x:v>
      </x:c>
      <x:c r="C1487" s="31" t="s">
        <x:v>509</x:v>
      </x:c>
      <x:c r="D1487" s="31" t="s">
        <x:v>644</x:v>
      </x:c>
    </x:row>
    <x:row r="1488" ht="34.5" hidden="0" customHeight="1">
      <x:c r="B1488" s="30" t="s">
        <x:v>486</x:v>
      </x:c>
      <x:c r="C1488" s="30" t="s">
        <x:v>497</x:v>
      </x:c>
      <x:c r="D1488" s="30" t="s">
        <x:v>1635</x:v>
      </x:c>
    </x:row>
    <x:row r="1489" ht="114.75" hidden="0" customHeight="1">
      <x:c r="B1489" s="31" t="s">
        <x:v>486</x:v>
      </x:c>
      <x:c r="C1489" s="31" t="s">
        <x:v>499</x:v>
      </x:c>
      <x:c r="D1489" s="31" t="s">
        <x:v>1636</x:v>
      </x:c>
    </x:row>
    <x:row r="1490" ht="43.5" hidden="0" customHeight="1">
      <x:c r="B1490" s="32" t="s">
        <x:v>486</x:v>
      </x:c>
      <x:c r="C1490" s="32" t="s">
        <x:v>501</x:v>
      </x:c>
      <x:c r="D1490" s="32" t="s">
        <x:v>1637</x:v>
      </x:c>
    </x:row>
    <x:row r="1491" ht="157.5" hidden="0" customHeight="1">
      <x:c r="B1491" s="31" t="s">
        <x:v>486</x:v>
      </x:c>
      <x:c r="C1491" s="31" t="s">
        <x:v>503</x:v>
      </x:c>
      <x:c r="D1491" s="31" t="s">
        <x:v>1638</x:v>
      </x:c>
    </x:row>
    <x:row r="1492" ht="114.75" hidden="0" customHeight="1">
      <x:c r="B1492" s="32" t="s">
        <x:v>486</x:v>
      </x:c>
      <x:c r="C1492" s="32" t="s">
        <x:v>505</x:v>
      </x:c>
      <x:c r="D1492" s="32" t="s">
        <x:v>1639</x:v>
      </x:c>
    </x:row>
    <x:row r="1493" ht="114.75" hidden="0" customHeight="1">
      <x:c r="B1493" s="32" t="s">
        <x:v>486</x:v>
      </x:c>
      <x:c r="C1493" s="32" t="s">
        <x:v>507</x:v>
      </x:c>
      <x:c r="D1493" s="32" t="s">
        <x:v>1640</x:v>
      </x:c>
    </x:row>
    <x:row r="1494" ht="43.5" hidden="0" customHeight="1">
      <x:c r="B1494" s="31" t="s">
        <x:v>486</x:v>
      </x:c>
      <x:c r="C1494" s="31" t="s">
        <x:v>509</x:v>
      </x:c>
      <x:c r="D1494" s="31" t="s">
        <x:v>626</x:v>
      </x:c>
    </x:row>
    <x:row r="1495" ht="43.5" hidden="0" customHeight="1">
      <x:c r="B1495" s="30" t="s">
        <x:v>488</x:v>
      </x:c>
      <x:c r="C1495" s="30" t="s">
        <x:v>497</x:v>
      </x:c>
      <x:c r="D1495" s="30" t="s">
        <x:v>1641</x:v>
      </x:c>
    </x:row>
    <x:row r="1496" ht="100.5" hidden="0" customHeight="1">
      <x:c r="B1496" s="31" t="s">
        <x:v>488</x:v>
      </x:c>
      <x:c r="C1496" s="31" t="s">
        <x:v>499</x:v>
      </x:c>
      <x:c r="D1496" s="31" t="s">
        <x:v>1642</x:v>
      </x:c>
    </x:row>
    <x:row r="1497" ht="43.5" hidden="0" customHeight="1">
      <x:c r="B1497" s="32" t="s">
        <x:v>488</x:v>
      </x:c>
      <x:c r="C1497" s="32" t="s">
        <x:v>501</x:v>
      </x:c>
      <x:c r="D1497" s="32" t="s">
        <x:v>1637</x:v>
      </x:c>
    </x:row>
    <x:row r="1498" ht="171.75" hidden="0" customHeight="1">
      <x:c r="B1498" s="31" t="s">
        <x:v>488</x:v>
      </x:c>
      <x:c r="C1498" s="31" t="s">
        <x:v>503</x:v>
      </x:c>
      <x:c r="D1498" s="31" t="s">
        <x:v>1643</x:v>
      </x:c>
    </x:row>
    <x:row r="1499" ht="143.25" hidden="0" customHeight="1">
      <x:c r="B1499" s="32" t="s">
        <x:v>488</x:v>
      </x:c>
      <x:c r="C1499" s="32" t="s">
        <x:v>505</x:v>
      </x:c>
      <x:c r="D1499" s="32" t="s">
        <x:v>1644</x:v>
      </x:c>
    </x:row>
    <x:row r="1500" ht="143.25" hidden="0" customHeight="1">
      <x:c r="B1500" s="32" t="s">
        <x:v>488</x:v>
      </x:c>
      <x:c r="C1500" s="32" t="s">
        <x:v>507</x:v>
      </x:c>
      <x:c r="D1500" s="32" t="s">
        <x:v>1645</x:v>
      </x:c>
    </x:row>
    <x:row r="1501" ht="90" hidden="0" customHeight="1">
      <x:c r="B1501" s="32" t="s">
        <x:v>488</x:v>
      </x:c>
      <x:c r="C1501" s="32" t="s">
        <x:v>517</x:v>
      </x:c>
      <x:c r="D1501" s="32" t="s">
        <x:v>1646</x:v>
      </x:c>
    </x:row>
    <x:row r="1502" ht="57.75" hidden="0" customHeight="1">
      <x:c r="B1502" s="31" t="s">
        <x:v>488</x:v>
      </x:c>
      <x:c r="C1502" s="31" t="s">
        <x:v>509</x:v>
      </x:c>
      <x:c r="D1502" s="31" t="s">
        <x:v>633</x:v>
      </x:c>
    </x:row>
  </x:sheetData>
  <x:pageMargins left="0.7" right="0.7" top="0.75" bottom="0.75" header="0.3" footer="0.3"/>
  <x:tableParts count="1">
    <x:tablePart xmlns:r="http://schemas.openxmlformats.org/officeDocument/2006/relationships" r:id="R697b54a5a8894d56"/>
  </x:tableParts>
</x:worksheet>
</file>

<file path=xl/worksheets/sheet3.xml><?xml version="1.0" encoding="utf-8"?>
<x:worksheet xmlns:x="http://schemas.openxmlformats.org/spreadsheetml/2006/main">
  <x:sheetPr>
    <x:tabColor rgb="FF0E6B8F"/>
  </x:sheetPr>
  <x:sheetViews>
    <x:sheetView showGridLines="0" workbookViewId="0">
      <x:pane xSplit="2" ySplit="8" topLeftCell="C9" activePane="bottomRight" state="frozen"/>
    </x:sheetView>
  </x:sheetViews>
  <x:sheetFormatPr defaultColWidth="8.6796875" defaultRowHeight="15"/>
  <x:cols>
    <x:col min="1" max="1" width="2.890000104904175" hidden="0" customWidth="1"/>
    <x:col min="2" max="2" width="11.779999732971191" hidden="0" customWidth="1"/>
    <x:col min="3" max="3" width="18.889999389648438" hidden="0" customWidth="1"/>
    <x:col min="4" max="4" width="35.560001373291016" hidden="0" customWidth="1"/>
    <x:col min="5" max="5" width="41.11000061035156" hidden="0" customWidth="1"/>
    <x:col min="6" max="6" width="40" hidden="0" customWidth="1"/>
    <x:col min="7" max="7" width="8.890000343322754" hidden="0" customWidth="1"/>
    <x:col min="8" max="8" width="2.890000104904175" hidden="0" customWidth="1"/>
  </x:cols>
  <x:sheetData>
    <x:row r="1" ht="15" hidden="0" customHeight="1">
      <x:c r="A1" s="1"/>
      <x:c r="B1" s="1"/>
      <x:c r="C1" s="1"/>
      <x:c r="D1" s="1"/>
      <x:c r="E1" s="1"/>
      <x:c r="F1" s="1"/>
      <x:c r="G1" s="1"/>
      <x:c r="H1" s="1"/>
    </x:row>
    <x:row r="2" ht="24.75" hidden="0" customHeight="1">
      <x:c r="A2" s="1"/>
      <x:c r="B2" s="2" t="s">
        <x:v>1647</x:v>
      </x:c>
      <x:c r="C2" s="1"/>
      <x:c r="D2" s="1"/>
      <x:c r="E2" s="1"/>
      <x:c r="F2" s="1"/>
      <x:c r="G2" s="1"/>
      <x:c r="H2" s="1"/>
    </x:row>
    <x:row r="3" ht="19.5" hidden="0" customHeight="1">
      <x:c r="A3" s="1"/>
      <x:c r="B3" s="3" t="s">
        <x:v>1648</x:v>
      </x:c>
      <x:c r="C3" s="1"/>
      <x:c r="D3" s="1"/>
      <x:c r="E3" s="1"/>
      <x:c r="F3" s="1"/>
      <x:c r="G3" s="1"/>
      <x:c r="H3" s="1"/>
    </x:row>
    <x:row r="4" ht="15" hidden="0">
      <x:c r="A4" s="1"/>
      <x:c r="B4" s="4"/>
      <x:c r="C4" s="4"/>
      <x:c r="D4" s="4"/>
      <x:c r="E4" s="4"/>
      <x:c r="F4" s="4"/>
      <x:c r="G4" s="4"/>
      <x:c r="H4" s="1"/>
    </x:row>
    <x:row r="5" ht="15" hidden="0">
      <x:c r="A5" s="1"/>
      <x:c r="B5" s="1"/>
      <x:c r="C5" s="1"/>
      <x:c r="D5" s="1"/>
      <x:c r="E5" s="1"/>
      <x:c r="F5" s="1"/>
      <x:c r="G5" s="1"/>
      <x:c r="H5" s="1"/>
    </x:row>
    <x:row r="6" ht="15" hidden="0">
      <x:c r="A6" s="1"/>
      <x:c r="B6" s="1" t="s">
        <x:v>1649</x:v>
      </x:c>
      <x:c r="C6" s="1"/>
      <x:c r="D6" s="1"/>
      <x:c r="E6" s="1"/>
      <x:c r="F6" s="1"/>
      <x:c r="G6" s="1"/>
      <x:c r="H6" s="1"/>
    </x:row>
    <x:row r="7" ht="15" hidden="0">
      <x:c r="A7" s="1"/>
      <x:c r="B7" s="1"/>
      <x:c r="C7" s="1"/>
      <x:c r="D7" s="1"/>
      <x:c r="E7" s="1"/>
      <x:c r="F7" s="1"/>
      <x:c r="G7" s="1"/>
      <x:c r="H7" s="1"/>
    </x:row>
    <x:row r="8" ht="30" hidden="0" customHeight="1">
      <x:c r="A8" s="1"/>
      <x:c r="B8" s="6" t="s">
        <x:v>6</x:v>
      </x:c>
      <x:c r="C8" s="7" t="s">
        <x:v>10</x:v>
      </x:c>
      <x:c r="D8" s="7" t="s">
        <x:v>1650</x:v>
      </x:c>
      <x:c r="E8" s="7" t="s">
        <x:v>1651</x:v>
      </x:c>
      <x:c r="F8" s="7" t="s">
        <x:v>1652</x:v>
      </x:c>
      <x:c r="G8" s="8" t="s">
        <x:v>1653</x:v>
      </x:c>
      <x:c r="H8" s="1"/>
    </x:row>
    <x:row r="9" ht="49.5" hidden="0" customHeight="1">
      <x:c r="A9" s="1"/>
      <x:c r="B9" s="10" t="n">
        <x:v>46279.5</x:v>
      </x:c>
      <x:c r="C9" s="13" t="s">
        <x:v>1654</x:v>
      </x:c>
      <x:c r="D9" s="13" t="s">
        <x:v>1655</x:v>
      </x:c>
      <x:c r="E9" s="13" t="s">
        <x:v>1656</x:v>
      </x:c>
      <x:c r="F9" s="13" t="s">
        <x:v>1657</x:v>
      </x:c>
      <x:c r="G9" s="33" t="n">
        <x:v>3</x:v>
      </x:c>
      <x:c r="H9" s="1"/>
    </x:row>
    <x:row r="10" ht="49.5" hidden="0" customHeight="1">
      <x:c r="A10" s="1"/>
      <x:c r="B10" s="17" t="n">
        <x:v>46280.5</x:v>
      </x:c>
      <x:c r="C10" s="20" t="s">
        <x:v>42</x:v>
      </x:c>
      <x:c r="D10" s="20" t="s">
        <x:v>1658</x:v>
      </x:c>
      <x:c r="E10" s="20" t="s">
        <x:v>1659</x:v>
      </x:c>
      <x:c r="F10" s="20" t="s">
        <x:v>1660</x:v>
      </x:c>
      <x:c r="G10" s="34" t="n">
        <x:v>3</x:v>
      </x:c>
      <x:c r="H10" s="1"/>
    </x:row>
    <x:row r="11" ht="49.5" hidden="0" customHeight="1">
      <x:c r="A11" s="1"/>
      <x:c r="B11" s="10" t="n">
        <x:v>46281.5</x:v>
      </x:c>
      <x:c r="C11" s="13" t="s">
        <x:v>1661</x:v>
      </x:c>
      <x:c r="D11" s="13" t="s">
        <x:v>1662</x:v>
      </x:c>
      <x:c r="E11" s="13" t="s">
        <x:v>1663</x:v>
      </x:c>
      <x:c r="F11" s="13" t="s">
        <x:v>1664</x:v>
      </x:c>
      <x:c r="G11" s="33" t="n">
        <x:v>3</x:v>
      </x:c>
      <x:c r="H11" s="1"/>
    </x:row>
    <x:row r="12" ht="49.5" hidden="0" customHeight="1">
      <x:c r="A12" s="1"/>
      <x:c r="B12" s="17" t="n">
        <x:v>46282.5</x:v>
      </x:c>
      <x:c r="C12" s="20" t="s">
        <x:v>1665</x:v>
      </x:c>
      <x:c r="D12" s="20" t="s">
        <x:v>1666</x:v>
      </x:c>
      <x:c r="E12" s="20" t="s">
        <x:v>1667</x:v>
      </x:c>
      <x:c r="F12" s="20" t="s">
        <x:v>1668</x:v>
      </x:c>
      <x:c r="G12" s="34" t="n">
        <x:v>3</x:v>
      </x:c>
      <x:c r="H12" s="1"/>
    </x:row>
    <x:row r="13" ht="49.5" hidden="0" customHeight="1">
      <x:c r="A13" s="1"/>
      <x:c r="B13" s="10" t="n">
        <x:v>46283.5</x:v>
      </x:c>
      <x:c r="C13" s="13" t="s">
        <x:v>1669</x:v>
      </x:c>
      <x:c r="D13" s="13" t="s">
        <x:v>1670</x:v>
      </x:c>
      <x:c r="E13" s="13" t="s">
        <x:v>1671</x:v>
      </x:c>
      <x:c r="F13" s="13" t="s">
        <x:v>1672</x:v>
      </x:c>
      <x:c r="G13" s="33" t="n">
        <x:v>3</x:v>
      </x:c>
      <x:c r="H13" s="1"/>
    </x:row>
    <x:row r="14" ht="49.5" hidden="0" customHeight="1">
      <x:c r="A14" s="1"/>
      <x:c r="B14" s="35" t="n">
        <x:v>46286.5</x:v>
      </x:c>
      <x:c r="C14" s="36" t="s">
        <x:v>1673</x:v>
      </x:c>
      <x:c r="D14" s="36" t="s">
        <x:v>1674</x:v>
      </x:c>
      <x:c r="E14" s="36" t="s">
        <x:v>1675</x:v>
      </x:c>
      <x:c r="F14" s="36" t="s">
        <x:v>1676</x:v>
      </x:c>
      <x:c r="G14" s="37" t="n">
        <x:v>3</x:v>
      </x:c>
      <x:c r="H14" s="1"/>
    </x:row>
    <x:row r="15" ht="49.5" hidden="0" customHeight="1">
      <x:c r="A15" s="1"/>
      <x:c r="B15" s="10" t="n">
        <x:v>46287.5</x:v>
      </x:c>
      <x:c r="C15" s="13" t="s">
        <x:v>1677</x:v>
      </x:c>
      <x:c r="D15" s="13" t="s">
        <x:v>1678</x:v>
      </x:c>
      <x:c r="E15" s="13" t="s">
        <x:v>1679</x:v>
      </x:c>
      <x:c r="F15" s="13" t="s">
        <x:v>1680</x:v>
      </x:c>
      <x:c r="G15" s="33" t="n">
        <x:v>3</x:v>
      </x:c>
      <x:c r="H15" s="1"/>
    </x:row>
    <x:row r="16" ht="49.5" hidden="0" customHeight="1">
      <x:c r="A16" s="1"/>
      <x:c r="B16" s="17" t="n">
        <x:v>46288.5</x:v>
      </x:c>
      <x:c r="C16" s="20" t="s">
        <x:v>1681</x:v>
      </x:c>
      <x:c r="D16" s="20" t="s">
        <x:v>1682</x:v>
      </x:c>
      <x:c r="E16" s="20" t="s">
        <x:v>1683</x:v>
      </x:c>
      <x:c r="F16" s="20" t="s">
        <x:v>1684</x:v>
      </x:c>
      <x:c r="G16" s="34" t="n">
        <x:v>3</x:v>
      </x:c>
      <x:c r="H16" s="1"/>
    </x:row>
    <x:row r="17" ht="49.5" hidden="0" customHeight="1">
      <x:c r="A17" s="1"/>
      <x:c r="B17" s="10" t="n">
        <x:v>46289.5</x:v>
      </x:c>
      <x:c r="C17" s="13" t="s">
        <x:v>1685</x:v>
      </x:c>
      <x:c r="D17" s="13" t="s">
        <x:v>1686</x:v>
      </x:c>
      <x:c r="E17" s="13" t="s">
        <x:v>1687</x:v>
      </x:c>
      <x:c r="F17" s="13" t="s">
        <x:v>1688</x:v>
      </x:c>
      <x:c r="G17" s="33" t="n">
        <x:v>3</x:v>
      </x:c>
      <x:c r="H17" s="1"/>
    </x:row>
    <x:row r="18" ht="49.5" hidden="0" customHeight="1">
      <x:c r="A18" s="1"/>
      <x:c r="B18" s="17" t="n">
        <x:v>46290.5</x:v>
      </x:c>
      <x:c r="C18" s="20" t="s">
        <x:v>1689</x:v>
      </x:c>
      <x:c r="D18" s="20" t="s">
        <x:v>1690</x:v>
      </x:c>
      <x:c r="E18" s="20" t="s">
        <x:v>1691</x:v>
      </x:c>
      <x:c r="F18" s="20" t="s">
        <x:v>1692</x:v>
      </x:c>
      <x:c r="G18" s="34" t="n">
        <x:v>3</x:v>
      </x:c>
      <x:c r="H18" s="1"/>
    </x:row>
    <x:row r="19" ht="49.5" hidden="0" customHeight="1">
      <x:c r="A19" s="1"/>
      <x:c r="B19" s="23" t="n">
        <x:v>46293.5</x:v>
      </x:c>
      <x:c r="C19" s="26" t="s">
        <x:v>1693</x:v>
      </x:c>
      <x:c r="D19" s="26" t="s">
        <x:v>1694</x:v>
      </x:c>
      <x:c r="E19" s="26" t="s">
        <x:v>1695</x:v>
      </x:c>
      <x:c r="F19" s="26" t="s">
        <x:v>1696</x:v>
      </x:c>
      <x:c r="G19" s="38" t="n">
        <x:v>3</x:v>
      </x:c>
      <x:c r="H19" s="1"/>
    </x:row>
    <x:row r="20" ht="49.5" hidden="0" customHeight="1">
      <x:c r="A20" s="1"/>
      <x:c r="B20" s="17" t="n">
        <x:v>46294.5</x:v>
      </x:c>
      <x:c r="C20" s="20" t="s">
        <x:v>1697</x:v>
      </x:c>
      <x:c r="D20" s="20" t="s">
        <x:v>1698</x:v>
      </x:c>
      <x:c r="E20" s="20" t="s">
        <x:v>1699</x:v>
      </x:c>
      <x:c r="F20" s="20" t="s">
        <x:v>1700</x:v>
      </x:c>
      <x:c r="G20" s="34" t="n">
        <x:v>3</x:v>
      </x:c>
      <x:c r="H20" s="1"/>
    </x:row>
    <x:row r="21" ht="49.5" hidden="0" customHeight="1">
      <x:c r="A21" s="1"/>
      <x:c r="B21" s="10" t="n">
        <x:v>46295.5</x:v>
      </x:c>
      <x:c r="C21" s="13" t="s">
        <x:v>1701</x:v>
      </x:c>
      <x:c r="D21" s="13" t="s">
        <x:v>1702</x:v>
      </x:c>
      <x:c r="E21" s="13" t="s">
        <x:v>1703</x:v>
      </x:c>
      <x:c r="F21" s="13" t="s">
        <x:v>1704</x:v>
      </x:c>
      <x:c r="G21" s="33" t="n">
        <x:v>3</x:v>
      </x:c>
      <x:c r="H21" s="1"/>
    </x:row>
    <x:row r="22" ht="49.5" hidden="0" customHeight="1">
      <x:c r="A22" s="1"/>
      <x:c r="B22" s="17" t="n">
        <x:v>46296.5</x:v>
      </x:c>
      <x:c r="C22" s="20" t="s">
        <x:v>1705</x:v>
      </x:c>
      <x:c r="D22" s="20" t="s">
        <x:v>1706</x:v>
      </x:c>
      <x:c r="E22" s="20" t="s">
        <x:v>1707</x:v>
      </x:c>
      <x:c r="F22" s="20" t="s">
        <x:v>1708</x:v>
      </x:c>
      <x:c r="G22" s="34" t="n">
        <x:v>3</x:v>
      </x:c>
      <x:c r="H22" s="1"/>
    </x:row>
    <x:row r="23" ht="49.5" hidden="0" customHeight="1">
      <x:c r="A23" s="1"/>
      <x:c r="B23" s="10" t="n">
        <x:v>46297.5</x:v>
      </x:c>
      <x:c r="C23" s="13" t="s">
        <x:v>1709</x:v>
      </x:c>
      <x:c r="D23" s="13" t="s">
        <x:v>1710</x:v>
      </x:c>
      <x:c r="E23" s="13" t="s">
        <x:v>1711</x:v>
      </x:c>
      <x:c r="F23" s="13" t="s">
        <x:v>1712</x:v>
      </x:c>
      <x:c r="G23" s="33" t="n">
        <x:v>3</x:v>
      </x:c>
      <x:c r="H23" s="1"/>
    </x:row>
    <x:row r="24" ht="49.5" hidden="0" customHeight="1">
      <x:c r="A24" s="1"/>
      <x:c r="B24" s="35" t="n">
        <x:v>46300.5</x:v>
      </x:c>
      <x:c r="C24" s="36" t="s">
        <x:v>1713</x:v>
      </x:c>
      <x:c r="D24" s="36" t="s">
        <x:v>1714</x:v>
      </x:c>
      <x:c r="E24" s="36" t="s">
        <x:v>1715</x:v>
      </x:c>
      <x:c r="F24" s="36" t="s">
        <x:v>1716</x:v>
      </x:c>
      <x:c r="G24" s="37" t="n">
        <x:v>3</x:v>
      </x:c>
      <x:c r="H24" s="1"/>
    </x:row>
    <x:row r="25" ht="57.75" hidden="0" customHeight="1">
      <x:c r="A25" s="1"/>
      <x:c r="B25" s="10" t="n">
        <x:v>46301.5</x:v>
      </x:c>
      <x:c r="C25" s="13" t="s">
        <x:v>1717</x:v>
      </x:c>
      <x:c r="D25" s="13" t="s">
        <x:v>1718</x:v>
      </x:c>
      <x:c r="E25" s="13" t="s">
        <x:v>1719</x:v>
      </x:c>
      <x:c r="F25" s="13" t="s">
        <x:v>1720</x:v>
      </x:c>
      <x:c r="G25" s="33" t="n">
        <x:v>3</x:v>
      </x:c>
      <x:c r="H25" s="1"/>
    </x:row>
    <x:row r="26" ht="49.5" hidden="0" customHeight="1">
      <x:c r="A26" s="1"/>
      <x:c r="B26" s="17" t="n">
        <x:v>46302.5</x:v>
      </x:c>
      <x:c r="C26" s="20" t="s">
        <x:v>1721</x:v>
      </x:c>
      <x:c r="D26" s="20" t="s">
        <x:v>1722</x:v>
      </x:c>
      <x:c r="E26" s="20" t="s">
        <x:v>1723</x:v>
      </x:c>
      <x:c r="F26" s="20" t="s">
        <x:v>1724</x:v>
      </x:c>
      <x:c r="G26" s="34" t="n">
        <x:v>3</x:v>
      </x:c>
      <x:c r="H26" s="1"/>
    </x:row>
    <x:row r="27" ht="49.5" hidden="0" customHeight="1">
      <x:c r="A27" s="1"/>
      <x:c r="B27" s="10" t="n">
        <x:v>46303.5</x:v>
      </x:c>
      <x:c r="C27" s="13" t="s">
        <x:v>1725</x:v>
      </x:c>
      <x:c r="D27" s="13" t="s">
        <x:v>1726</x:v>
      </x:c>
      <x:c r="E27" s="13" t="s">
        <x:v>1727</x:v>
      </x:c>
      <x:c r="F27" s="13" t="s">
        <x:v>1728</x:v>
      </x:c>
      <x:c r="G27" s="33" t="n">
        <x:v>3</x:v>
      </x:c>
      <x:c r="H27" s="1"/>
    </x:row>
    <x:row r="28" ht="49.5" hidden="0" customHeight="1">
      <x:c r="A28" s="1"/>
      <x:c r="B28" s="17" t="n">
        <x:v>46304.5</x:v>
      </x:c>
      <x:c r="C28" s="20" t="s">
        <x:v>1729</x:v>
      </x:c>
      <x:c r="D28" s="20" t="s">
        <x:v>1730</x:v>
      </x:c>
      <x:c r="E28" s="20" t="s">
        <x:v>1731</x:v>
      </x:c>
      <x:c r="F28" s="20" t="s">
        <x:v>1732</x:v>
      </x:c>
      <x:c r="G28" s="34" t="n">
        <x:v>3</x:v>
      </x:c>
      <x:c r="H28" s="1"/>
    </x:row>
    <x:row r="29" ht="57.75" hidden="0" customHeight="1">
      <x:c r="A29" s="1"/>
      <x:c r="B29" s="23" t="n">
        <x:v>46307.5</x:v>
      </x:c>
      <x:c r="C29" s="26" t="s">
        <x:v>1733</x:v>
      </x:c>
      <x:c r="D29" s="26" t="s">
        <x:v>93</x:v>
      </x:c>
      <x:c r="E29" s="26" t="s">
        <x:v>1734</x:v>
      </x:c>
      <x:c r="F29" s="26" t="s">
        <x:v>1735</x:v>
      </x:c>
      <x:c r="G29" s="38" t="n">
        <x:v>3</x:v>
      </x:c>
      <x:c r="H29" s="1"/>
    </x:row>
    <x:row r="30" ht="72" hidden="0" customHeight="1">
      <x:c r="A30" s="1"/>
      <x:c r="B30" s="17" t="n">
        <x:v>46308.5</x:v>
      </x:c>
      <x:c r="C30" s="20" t="s">
        <x:v>1733</x:v>
      </x:c>
      <x:c r="D30" s="20" t="s">
        <x:v>1736</x:v>
      </x:c>
      <x:c r="E30" s="20" t="s">
        <x:v>1737</x:v>
      </x:c>
      <x:c r="F30" s="20" t="s">
        <x:v>1738</x:v>
      </x:c>
      <x:c r="G30" s="34" t="n">
        <x:v>3</x:v>
      </x:c>
      <x:c r="H30" s="1"/>
    </x:row>
    <x:row r="31" ht="57.75" hidden="0" customHeight="1">
      <x:c r="A31" s="1"/>
      <x:c r="B31" s="10" t="n">
        <x:v>46309.5</x:v>
      </x:c>
      <x:c r="C31" s="13" t="s">
        <x:v>1733</x:v>
      </x:c>
      <x:c r="D31" s="13" t="s">
        <x:v>1739</x:v>
      </x:c>
      <x:c r="E31" s="13" t="s">
        <x:v>1740</x:v>
      </x:c>
      <x:c r="F31" s="13" t="s">
        <x:v>1741</x:v>
      </x:c>
      <x:c r="G31" s="33" t="n">
        <x:v>3</x:v>
      </x:c>
      <x:c r="H31" s="1"/>
    </x:row>
    <x:row r="32" ht="49.5" hidden="0" customHeight="1">
      <x:c r="B32" s="17" t="n">
        <x:v>46310.5</x:v>
      </x:c>
      <x:c r="C32" s="20" t="s">
        <x:v>1733</x:v>
      </x:c>
      <x:c r="D32" s="20" t="s">
        <x:v>1742</x:v>
      </x:c>
      <x:c r="E32" s="20" t="s">
        <x:v>1743</x:v>
      </x:c>
      <x:c r="F32" s="20" t="s">
        <x:v>1744</x:v>
      </x:c>
      <x:c r="G32" s="34" t="n">
        <x:v>3</x:v>
      </x:c>
    </x:row>
    <x:row r="33" ht="49.5" hidden="0" customHeight="1">
      <x:c r="B33" s="10" t="n">
        <x:v>46311.5</x:v>
      </x:c>
      <x:c r="C33" s="13" t="s">
        <x:v>1733</x:v>
      </x:c>
      <x:c r="D33" s="13" t="s">
        <x:v>1745</x:v>
      </x:c>
      <x:c r="E33" s="13" t="s">
        <x:v>1746</x:v>
      </x:c>
      <x:c r="F33" s="13" t="s">
        <x:v>1747</x:v>
      </x:c>
      <x:c r="G33" s="33" t="n">
        <x:v>3</x:v>
      </x:c>
    </x:row>
    <x:row r="34" ht="72" hidden="0" customHeight="1">
      <x:c r="B34" s="35" t="n">
        <x:v>46314.5</x:v>
      </x:c>
      <x:c r="C34" s="36" t="s">
        <x:v>1748</x:v>
      </x:c>
      <x:c r="D34" s="36" t="s">
        <x:v>108</x:v>
      </x:c>
      <x:c r="E34" s="36" t="s">
        <x:v>1749</x:v>
      </x:c>
      <x:c r="F34" s="36" t="s">
        <x:v>1750</x:v>
      </x:c>
      <x:c r="G34" s="37" t="n">
        <x:v>3</x:v>
      </x:c>
    </x:row>
    <x:row r="35" ht="57.75" hidden="0" customHeight="1">
      <x:c r="B35" s="10" t="n">
        <x:v>46315.5</x:v>
      </x:c>
      <x:c r="C35" s="13" t="s">
        <x:v>1748</x:v>
      </x:c>
      <x:c r="D35" s="13" t="s">
        <x:v>1751</x:v>
      </x:c>
      <x:c r="E35" s="13" t="s">
        <x:v>1752</x:v>
      </x:c>
      <x:c r="F35" s="13" t="s">
        <x:v>1738</x:v>
      </x:c>
      <x:c r="G35" s="33" t="n">
        <x:v>3</x:v>
      </x:c>
    </x:row>
    <x:row r="36" ht="49.5" hidden="0" customHeight="1">
      <x:c r="B36" s="17" t="n">
        <x:v>46316.5</x:v>
      </x:c>
      <x:c r="C36" s="20" t="s">
        <x:v>1748</x:v>
      </x:c>
      <x:c r="D36" s="20" t="s">
        <x:v>1753</x:v>
      </x:c>
      <x:c r="E36" s="20" t="s">
        <x:v>1754</x:v>
      </x:c>
      <x:c r="F36" s="20" t="s">
        <x:v>1755</x:v>
      </x:c>
      <x:c r="G36" s="34" t="n">
        <x:v>3</x:v>
      </x:c>
    </x:row>
    <x:row r="37" ht="49.5" hidden="0" customHeight="1">
      <x:c r="B37" s="10" t="n">
        <x:v>46317.5</x:v>
      </x:c>
      <x:c r="C37" s="13" t="s">
        <x:v>1748</x:v>
      </x:c>
      <x:c r="D37" s="13" t="s">
        <x:v>1756</x:v>
      </x:c>
      <x:c r="E37" s="13" t="s">
        <x:v>1757</x:v>
      </x:c>
      <x:c r="F37" s="13" t="s">
        <x:v>1744</x:v>
      </x:c>
      <x:c r="G37" s="33" t="n">
        <x:v>3</x:v>
      </x:c>
    </x:row>
    <x:row r="38" ht="49.5" hidden="0" customHeight="1">
      <x:c r="B38" s="17" t="n">
        <x:v>46318.5</x:v>
      </x:c>
      <x:c r="C38" s="20" t="s">
        <x:v>1748</x:v>
      </x:c>
      <x:c r="D38" s="20" t="s">
        <x:v>1758</x:v>
      </x:c>
      <x:c r="E38" s="20" t="s">
        <x:v>1746</x:v>
      </x:c>
      <x:c r="F38" s="20" t="s">
        <x:v>1759</x:v>
      </x:c>
      <x:c r="G38" s="34" t="n">
        <x:v>3</x:v>
      </x:c>
    </x:row>
    <x:row r="39" ht="57.75" hidden="0" customHeight="1">
      <x:c r="B39" s="23" t="n">
        <x:v>46321.5</x:v>
      </x:c>
      <x:c r="C39" s="26" t="s">
        <x:v>1760</x:v>
      </x:c>
      <x:c r="D39" s="26" t="s">
        <x:v>119</x:v>
      </x:c>
      <x:c r="E39" s="26" t="s">
        <x:v>1761</x:v>
      </x:c>
      <x:c r="F39" s="26" t="s">
        <x:v>1762</x:v>
      </x:c>
      <x:c r="G39" s="38" t="n">
        <x:v>3</x:v>
      </x:c>
    </x:row>
    <x:row r="40" ht="72" hidden="0" customHeight="1">
      <x:c r="B40" s="17" t="n">
        <x:v>46322.5</x:v>
      </x:c>
      <x:c r="C40" s="20" t="s">
        <x:v>1760</x:v>
      </x:c>
      <x:c r="D40" s="20" t="s">
        <x:v>1763</x:v>
      </x:c>
      <x:c r="E40" s="20" t="s">
        <x:v>1764</x:v>
      </x:c>
      <x:c r="F40" s="20" t="s">
        <x:v>1738</x:v>
      </x:c>
      <x:c r="G40" s="34" t="n">
        <x:v>3</x:v>
      </x:c>
    </x:row>
    <x:row r="41" ht="49.5" hidden="0" customHeight="1">
      <x:c r="B41" s="10" t="n">
        <x:v>46323.5</x:v>
      </x:c>
      <x:c r="C41" s="13" t="s">
        <x:v>1760</x:v>
      </x:c>
      <x:c r="D41" s="13" t="s">
        <x:v>1765</x:v>
      </x:c>
      <x:c r="E41" s="13" t="s">
        <x:v>1766</x:v>
      </x:c>
      <x:c r="F41" s="13" t="s">
        <x:v>1767</x:v>
      </x:c>
      <x:c r="G41" s="33" t="n">
        <x:v>3</x:v>
      </x:c>
    </x:row>
    <x:row r="42" ht="49.5" hidden="0" customHeight="1">
      <x:c r="B42" s="17" t="n">
        <x:v>46324.5</x:v>
      </x:c>
      <x:c r="C42" s="20" t="s">
        <x:v>1760</x:v>
      </x:c>
      <x:c r="D42" s="20" t="s">
        <x:v>1768</x:v>
      </x:c>
      <x:c r="E42" s="20" t="s">
        <x:v>1769</x:v>
      </x:c>
      <x:c r="F42" s="20" t="s">
        <x:v>1744</x:v>
      </x:c>
      <x:c r="G42" s="34" t="n">
        <x:v>3</x:v>
      </x:c>
    </x:row>
    <x:row r="43" ht="49.5" hidden="0" customHeight="1">
      <x:c r="B43" s="10" t="n">
        <x:v>46325.5</x:v>
      </x:c>
      <x:c r="C43" s="13" t="s">
        <x:v>1760</x:v>
      </x:c>
      <x:c r="D43" s="13" t="s">
        <x:v>1770</x:v>
      </x:c>
      <x:c r="E43" s="13" t="s">
        <x:v>1746</x:v>
      </x:c>
      <x:c r="F43" s="13" t="s">
        <x:v>1771</x:v>
      </x:c>
      <x:c r="G43" s="33" t="n">
        <x:v>3</x:v>
      </x:c>
    </x:row>
    <x:row r="44" ht="72" hidden="0" customHeight="1">
      <x:c r="B44" s="35" t="n">
        <x:v>46328.5</x:v>
      </x:c>
      <x:c r="C44" s="36" t="s">
        <x:v>1772</x:v>
      </x:c>
      <x:c r="D44" s="36" t="s">
        <x:v>127</x:v>
      </x:c>
      <x:c r="E44" s="36" t="s">
        <x:v>1773</x:v>
      </x:c>
      <x:c r="F44" s="36" t="s">
        <x:v>1774</x:v>
      </x:c>
      <x:c r="G44" s="37" t="n">
        <x:v>3</x:v>
      </x:c>
    </x:row>
    <x:row r="45" ht="57.75" hidden="0" customHeight="1">
      <x:c r="B45" s="10" t="n">
        <x:v>46329.5</x:v>
      </x:c>
      <x:c r="C45" s="13" t="s">
        <x:v>1772</x:v>
      </x:c>
      <x:c r="D45" s="13" t="s">
        <x:v>1775</x:v>
      </x:c>
      <x:c r="E45" s="13" t="s">
        <x:v>1776</x:v>
      </x:c>
      <x:c r="F45" s="13" t="s">
        <x:v>1738</x:v>
      </x:c>
      <x:c r="G45" s="33" t="n">
        <x:v>3</x:v>
      </x:c>
    </x:row>
    <x:row r="46" ht="57.75" hidden="0" customHeight="1">
      <x:c r="B46" s="17" t="n">
        <x:v>46330.5</x:v>
      </x:c>
      <x:c r="C46" s="20" t="s">
        <x:v>1772</x:v>
      </x:c>
      <x:c r="D46" s="20" t="s">
        <x:v>1777</x:v>
      </x:c>
      <x:c r="E46" s="20" t="s">
        <x:v>1778</x:v>
      </x:c>
      <x:c r="F46" s="20" t="s">
        <x:v>1779</x:v>
      </x:c>
      <x:c r="G46" s="34" t="n">
        <x:v>3</x:v>
      </x:c>
    </x:row>
    <x:row r="47" ht="49.5" hidden="0" customHeight="1">
      <x:c r="B47" s="10" t="n">
        <x:v>46331.5</x:v>
      </x:c>
      <x:c r="C47" s="13" t="s">
        <x:v>1772</x:v>
      </x:c>
      <x:c r="D47" s="13" t="s">
        <x:v>1780</x:v>
      </x:c>
      <x:c r="E47" s="13" t="s">
        <x:v>1781</x:v>
      </x:c>
      <x:c r="F47" s="13" t="s">
        <x:v>1744</x:v>
      </x:c>
      <x:c r="G47" s="33" t="n">
        <x:v>3</x:v>
      </x:c>
    </x:row>
    <x:row r="48" ht="49.5" hidden="0" customHeight="1">
      <x:c r="B48" s="17" t="n">
        <x:v>46332.5</x:v>
      </x:c>
      <x:c r="C48" s="20" t="s">
        <x:v>1772</x:v>
      </x:c>
      <x:c r="D48" s="20" t="s">
        <x:v>1782</x:v>
      </x:c>
      <x:c r="E48" s="20" t="s">
        <x:v>1746</x:v>
      </x:c>
      <x:c r="F48" s="20" t="s">
        <x:v>1783</x:v>
      </x:c>
      <x:c r="G48" s="34" t="n">
        <x:v>3</x:v>
      </x:c>
    </x:row>
    <x:row r="49" ht="57.75" hidden="0" customHeight="1">
      <x:c r="B49" s="23" t="n">
        <x:v>46335.5</x:v>
      </x:c>
      <x:c r="C49" s="26" t="s">
        <x:v>1784</x:v>
      </x:c>
      <x:c r="D49" s="26" t="s">
        <x:v>138</x:v>
      </x:c>
      <x:c r="E49" s="26" t="s">
        <x:v>1785</x:v>
      </x:c>
      <x:c r="F49" s="26" t="s">
        <x:v>1786</x:v>
      </x:c>
      <x:c r="G49" s="38" t="n">
        <x:v>3</x:v>
      </x:c>
    </x:row>
    <x:row r="50" ht="57.75" hidden="0" customHeight="1">
      <x:c r="B50" s="17" t="n">
        <x:v>46336.5</x:v>
      </x:c>
      <x:c r="C50" s="20" t="s">
        <x:v>1784</x:v>
      </x:c>
      <x:c r="D50" s="20" t="s">
        <x:v>1787</x:v>
      </x:c>
      <x:c r="E50" s="20" t="s">
        <x:v>1788</x:v>
      </x:c>
      <x:c r="F50" s="20" t="s">
        <x:v>1738</x:v>
      </x:c>
      <x:c r="G50" s="34" t="n">
        <x:v>3</x:v>
      </x:c>
    </x:row>
    <x:row r="51" ht="57.75" hidden="0" customHeight="1">
      <x:c r="B51" s="10" t="n">
        <x:v>46337.5</x:v>
      </x:c>
      <x:c r="C51" s="13" t="s">
        <x:v>1784</x:v>
      </x:c>
      <x:c r="D51" s="13" t="s">
        <x:v>1789</x:v>
      </x:c>
      <x:c r="E51" s="13" t="s">
        <x:v>1790</x:v>
      </x:c>
      <x:c r="F51" s="13" t="s">
        <x:v>1791</x:v>
      </x:c>
      <x:c r="G51" s="33" t="n">
        <x:v>3</x:v>
      </x:c>
    </x:row>
    <x:row r="52" ht="49.5" hidden="0" customHeight="1">
      <x:c r="B52" s="17" t="n">
        <x:v>46338.5</x:v>
      </x:c>
      <x:c r="C52" s="20" t="s">
        <x:v>1784</x:v>
      </x:c>
      <x:c r="D52" s="20" t="s">
        <x:v>1792</x:v>
      </x:c>
      <x:c r="E52" s="20" t="s">
        <x:v>1793</x:v>
      </x:c>
      <x:c r="F52" s="20" t="s">
        <x:v>1744</x:v>
      </x:c>
      <x:c r="G52" s="34" t="n">
        <x:v>3</x:v>
      </x:c>
    </x:row>
    <x:row r="53" ht="49.5" hidden="0" customHeight="1">
      <x:c r="B53" s="10" t="n">
        <x:v>46339.5</x:v>
      </x:c>
      <x:c r="C53" s="13" t="s">
        <x:v>1784</x:v>
      </x:c>
      <x:c r="D53" s="13" t="s">
        <x:v>1794</x:v>
      </x:c>
      <x:c r="E53" s="13" t="s">
        <x:v>1746</x:v>
      </x:c>
      <x:c r="F53" s="13" t="s">
        <x:v>1795</x:v>
      </x:c>
      <x:c r="G53" s="33" t="n">
        <x:v>3</x:v>
      </x:c>
    </x:row>
    <x:row r="54" ht="72" hidden="0" customHeight="1">
      <x:c r="B54" s="35" t="n">
        <x:v>46342.5</x:v>
      </x:c>
      <x:c r="C54" s="36" t="s">
        <x:v>1796</x:v>
      </x:c>
      <x:c r="D54" s="36" t="s">
        <x:v>1797</x:v>
      </x:c>
      <x:c r="E54" s="36" t="s">
        <x:v>1798</x:v>
      </x:c>
      <x:c r="F54" s="36" t="s">
        <x:v>1799</x:v>
      </x:c>
      <x:c r="G54" s="37" t="n">
        <x:v>3</x:v>
      </x:c>
    </x:row>
    <x:row r="55" ht="72" hidden="0" customHeight="1">
      <x:c r="B55" s="10" t="n">
        <x:v>46343.5</x:v>
      </x:c>
      <x:c r="C55" s="13" t="s">
        <x:v>1796</x:v>
      </x:c>
      <x:c r="D55" s="13" t="s">
        <x:v>1800</x:v>
      </x:c>
      <x:c r="E55" s="13" t="s">
        <x:v>1801</x:v>
      </x:c>
      <x:c r="F55" s="13" t="s">
        <x:v>1738</x:v>
      </x:c>
      <x:c r="G55" s="33" t="n">
        <x:v>3</x:v>
      </x:c>
    </x:row>
    <x:row r="56" ht="49.5" hidden="0" customHeight="1">
      <x:c r="B56" s="17" t="n">
        <x:v>46344.5</x:v>
      </x:c>
      <x:c r="C56" s="20" t="s">
        <x:v>1796</x:v>
      </x:c>
      <x:c r="D56" s="20" t="s">
        <x:v>1802</x:v>
      </x:c>
      <x:c r="E56" s="20" t="s">
        <x:v>1803</x:v>
      </x:c>
      <x:c r="F56" s="20" t="s">
        <x:v>1804</x:v>
      </x:c>
      <x:c r="G56" s="34" t="n">
        <x:v>3</x:v>
      </x:c>
    </x:row>
    <x:row r="57" ht="49.5" hidden="0" customHeight="1">
      <x:c r="B57" s="10" t="n">
        <x:v>46345.5</x:v>
      </x:c>
      <x:c r="C57" s="13" t="s">
        <x:v>1796</x:v>
      </x:c>
      <x:c r="D57" s="13" t="s">
        <x:v>1805</x:v>
      </x:c>
      <x:c r="E57" s="13" t="s">
        <x:v>1806</x:v>
      </x:c>
      <x:c r="F57" s="13" t="s">
        <x:v>1744</x:v>
      </x:c>
      <x:c r="G57" s="33" t="n">
        <x:v>3</x:v>
      </x:c>
    </x:row>
    <x:row r="58" ht="49.5" hidden="0" customHeight="1">
      <x:c r="B58" s="17" t="n">
        <x:v>46346.5</x:v>
      </x:c>
      <x:c r="C58" s="20" t="s">
        <x:v>1796</x:v>
      </x:c>
      <x:c r="D58" s="20" t="s">
        <x:v>1807</x:v>
      </x:c>
      <x:c r="E58" s="20" t="s">
        <x:v>1746</x:v>
      </x:c>
      <x:c r="F58" s="20" t="s">
        <x:v>1808</x:v>
      </x:c>
      <x:c r="G58" s="34" t="n">
        <x:v>3</x:v>
      </x:c>
    </x:row>
    <x:row r="59" ht="72" hidden="0" customHeight="1">
      <x:c r="B59" s="23" t="n">
        <x:v>46349.5</x:v>
      </x:c>
      <x:c r="C59" s="26" t="s">
        <x:v>1809</x:v>
      </x:c>
      <x:c r="D59" s="26" t="s">
        <x:v>154</x:v>
      </x:c>
      <x:c r="E59" s="26" t="s">
        <x:v>1810</x:v>
      </x:c>
      <x:c r="F59" s="26" t="s">
        <x:v>1811</x:v>
      </x:c>
      <x:c r="G59" s="38" t="n">
        <x:v>3</x:v>
      </x:c>
    </x:row>
    <x:row r="60" ht="57.75" hidden="0" customHeight="1">
      <x:c r="B60" s="17" t="n">
        <x:v>46350.5</x:v>
      </x:c>
      <x:c r="C60" s="20" t="s">
        <x:v>1809</x:v>
      </x:c>
      <x:c r="D60" s="20" t="s">
        <x:v>1812</x:v>
      </x:c>
      <x:c r="E60" s="20" t="s">
        <x:v>1813</x:v>
      </x:c>
      <x:c r="F60" s="20" t="s">
        <x:v>1738</x:v>
      </x:c>
      <x:c r="G60" s="34" t="n">
        <x:v>3</x:v>
      </x:c>
    </x:row>
    <x:row r="61" ht="49.5" hidden="0" customHeight="1">
      <x:c r="B61" s="10" t="n">
        <x:v>46351.5</x:v>
      </x:c>
      <x:c r="C61" s="13" t="s">
        <x:v>1809</x:v>
      </x:c>
      <x:c r="D61" s="13" t="s">
        <x:v>1814</x:v>
      </x:c>
      <x:c r="E61" s="13" t="s">
        <x:v>1815</x:v>
      </x:c>
      <x:c r="F61" s="13" t="s">
        <x:v>1816</x:v>
      </x:c>
      <x:c r="G61" s="33" t="n">
        <x:v>3</x:v>
      </x:c>
    </x:row>
    <x:row r="62" ht="49.5" hidden="0" customHeight="1">
      <x:c r="B62" s="17" t="n">
        <x:v>46352.5</x:v>
      </x:c>
      <x:c r="C62" s="20" t="s">
        <x:v>1809</x:v>
      </x:c>
      <x:c r="D62" s="20" t="s">
        <x:v>1817</x:v>
      </x:c>
      <x:c r="E62" s="20" t="s">
        <x:v>1818</x:v>
      </x:c>
      <x:c r="F62" s="20" t="s">
        <x:v>1744</x:v>
      </x:c>
      <x:c r="G62" s="34" t="n">
        <x:v>3</x:v>
      </x:c>
    </x:row>
    <x:row r="63" ht="49.5" hidden="0" customHeight="1">
      <x:c r="B63" s="10" t="n">
        <x:v>46353.5</x:v>
      </x:c>
      <x:c r="C63" s="13" t="s">
        <x:v>1809</x:v>
      </x:c>
      <x:c r="D63" s="13" t="s">
        <x:v>1819</x:v>
      </x:c>
      <x:c r="E63" s="13" t="s">
        <x:v>1746</x:v>
      </x:c>
      <x:c r="F63" s="13" t="s">
        <x:v>1820</x:v>
      </x:c>
      <x:c r="G63" s="33" t="n">
        <x:v>3</x:v>
      </x:c>
    </x:row>
    <x:row r="64" ht="72" hidden="0" customHeight="1">
      <x:c r="B64" s="35" t="n">
        <x:v>46356.5</x:v>
      </x:c>
      <x:c r="C64" s="36" t="s">
        <x:v>1821</x:v>
      </x:c>
      <x:c r="D64" s="36" t="s">
        <x:v>162</x:v>
      </x:c>
      <x:c r="E64" s="36" t="s">
        <x:v>1822</x:v>
      </x:c>
      <x:c r="F64" s="36" t="s">
        <x:v>1823</x:v>
      </x:c>
      <x:c r="G64" s="37" t="n">
        <x:v>3</x:v>
      </x:c>
    </x:row>
    <x:row r="65" ht="57.75" hidden="0" customHeight="1">
      <x:c r="B65" s="10" t="n">
        <x:v>46357.5</x:v>
      </x:c>
      <x:c r="C65" s="13" t="s">
        <x:v>1821</x:v>
      </x:c>
      <x:c r="D65" s="13" t="s">
        <x:v>1824</x:v>
      </x:c>
      <x:c r="E65" s="13" t="s">
        <x:v>1825</x:v>
      </x:c>
      <x:c r="F65" s="13" t="s">
        <x:v>1738</x:v>
      </x:c>
      <x:c r="G65" s="33" t="n">
        <x:v>3</x:v>
      </x:c>
    </x:row>
    <x:row r="66" ht="49.5" hidden="0" customHeight="1">
      <x:c r="B66" s="17" t="n">
        <x:v>46358.5</x:v>
      </x:c>
      <x:c r="C66" s="20" t="s">
        <x:v>1821</x:v>
      </x:c>
      <x:c r="D66" s="20" t="s">
        <x:v>1826</x:v>
      </x:c>
      <x:c r="E66" s="20" t="s">
        <x:v>1827</x:v>
      </x:c>
      <x:c r="F66" s="20" t="s">
        <x:v>1828</x:v>
      </x:c>
      <x:c r="G66" s="34" t="n">
        <x:v>3</x:v>
      </x:c>
    </x:row>
    <x:row r="67" ht="49.5" hidden="0" customHeight="1">
      <x:c r="B67" s="10" t="n">
        <x:v>46359.5</x:v>
      </x:c>
      <x:c r="C67" s="13" t="s">
        <x:v>1821</x:v>
      </x:c>
      <x:c r="D67" s="13" t="s">
        <x:v>1829</x:v>
      </x:c>
      <x:c r="E67" s="13" t="s">
        <x:v>1830</x:v>
      </x:c>
      <x:c r="F67" s="13" t="s">
        <x:v>1744</x:v>
      </x:c>
      <x:c r="G67" s="33" t="n">
        <x:v>3</x:v>
      </x:c>
    </x:row>
    <x:row r="68" ht="49.5" hidden="0" customHeight="1">
      <x:c r="B68" s="17" t="n">
        <x:v>46360.5</x:v>
      </x:c>
      <x:c r="C68" s="20" t="s">
        <x:v>1821</x:v>
      </x:c>
      <x:c r="D68" s="20" t="s">
        <x:v>1831</x:v>
      </x:c>
      <x:c r="E68" s="20" t="s">
        <x:v>1746</x:v>
      </x:c>
      <x:c r="F68" s="20" t="s">
        <x:v>1832</x:v>
      </x:c>
      <x:c r="G68" s="34" t="n">
        <x:v>3</x:v>
      </x:c>
    </x:row>
    <x:row r="69" ht="72" hidden="0" customHeight="1">
      <x:c r="B69" s="23" t="n">
        <x:v>46363.5</x:v>
      </x:c>
      <x:c r="C69" s="26" t="s">
        <x:v>1833</x:v>
      </x:c>
      <x:c r="D69" s="26" t="s">
        <x:v>171</x:v>
      </x:c>
      <x:c r="E69" s="26" t="s">
        <x:v>1834</x:v>
      </x:c>
      <x:c r="F69" s="26" t="s">
        <x:v>1835</x:v>
      </x:c>
      <x:c r="G69" s="38" t="n">
        <x:v>3</x:v>
      </x:c>
    </x:row>
    <x:row r="70" ht="72" hidden="0" customHeight="1">
      <x:c r="B70" s="17" t="n">
        <x:v>46364.5</x:v>
      </x:c>
      <x:c r="C70" s="20" t="s">
        <x:v>1833</x:v>
      </x:c>
      <x:c r="D70" s="20" t="s">
        <x:v>1836</x:v>
      </x:c>
      <x:c r="E70" s="20" t="s">
        <x:v>1837</x:v>
      </x:c>
      <x:c r="F70" s="20" t="s">
        <x:v>1738</x:v>
      </x:c>
      <x:c r="G70" s="34" t="n">
        <x:v>3</x:v>
      </x:c>
    </x:row>
    <x:row r="71" ht="49.5" hidden="0" customHeight="1">
      <x:c r="B71" s="10" t="n">
        <x:v>46365.5</x:v>
      </x:c>
      <x:c r="C71" s="13" t="s">
        <x:v>1833</x:v>
      </x:c>
      <x:c r="D71" s="13" t="s">
        <x:v>1838</x:v>
      </x:c>
      <x:c r="E71" s="13" t="s">
        <x:v>1839</x:v>
      </x:c>
      <x:c r="F71" s="13" t="s">
        <x:v>1840</x:v>
      </x:c>
      <x:c r="G71" s="33" t="n">
        <x:v>3</x:v>
      </x:c>
    </x:row>
    <x:row r="72" ht="49.5" hidden="0" customHeight="1">
      <x:c r="B72" s="17" t="n">
        <x:v>46366.5</x:v>
      </x:c>
      <x:c r="C72" s="20" t="s">
        <x:v>1833</x:v>
      </x:c>
      <x:c r="D72" s="20" t="s">
        <x:v>1841</x:v>
      </x:c>
      <x:c r="E72" s="20" t="s">
        <x:v>1842</x:v>
      </x:c>
      <x:c r="F72" s="20" t="s">
        <x:v>1744</x:v>
      </x:c>
      <x:c r="G72" s="34" t="n">
        <x:v>3</x:v>
      </x:c>
    </x:row>
    <x:row r="73" ht="49.5" hidden="0" customHeight="1">
      <x:c r="B73" s="10" t="n">
        <x:v>46367.5</x:v>
      </x:c>
      <x:c r="C73" s="13" t="s">
        <x:v>1833</x:v>
      </x:c>
      <x:c r="D73" s="13" t="s">
        <x:v>1843</x:v>
      </x:c>
      <x:c r="E73" s="13" t="s">
        <x:v>1746</x:v>
      </x:c>
      <x:c r="F73" s="13" t="s">
        <x:v>1844</x:v>
      </x:c>
      <x:c r="G73" s="33" t="n">
        <x:v>3</x:v>
      </x:c>
    </x:row>
    <x:row r="74" ht="72" hidden="0" customHeight="1">
      <x:c r="B74" s="35" t="n">
        <x:v>46370.5</x:v>
      </x:c>
      <x:c r="C74" s="36" t="s">
        <x:v>1845</x:v>
      </x:c>
      <x:c r="D74" s="36" t="s">
        <x:v>1846</x:v>
      </x:c>
      <x:c r="E74" s="36" t="s">
        <x:v>1847</x:v>
      </x:c>
      <x:c r="F74" s="36" t="s">
        <x:v>1848</x:v>
      </x:c>
      <x:c r="G74" s="37" t="n">
        <x:v>3</x:v>
      </x:c>
    </x:row>
    <x:row r="75" ht="57.75" hidden="0" customHeight="1">
      <x:c r="B75" s="10" t="n">
        <x:v>46371.5</x:v>
      </x:c>
      <x:c r="C75" s="13" t="s">
        <x:v>1845</x:v>
      </x:c>
      <x:c r="D75" s="13" t="s">
        <x:v>1849</x:v>
      </x:c>
      <x:c r="E75" s="13" t="s">
        <x:v>1850</x:v>
      </x:c>
      <x:c r="F75" s="13" t="s">
        <x:v>1738</x:v>
      </x:c>
      <x:c r="G75" s="33" t="n">
        <x:v>3</x:v>
      </x:c>
    </x:row>
    <x:row r="76" ht="49.5" hidden="0" customHeight="1">
      <x:c r="B76" s="17" t="n">
        <x:v>46372.5</x:v>
      </x:c>
      <x:c r="C76" s="20" t="s">
        <x:v>1845</x:v>
      </x:c>
      <x:c r="D76" s="20" t="s">
        <x:v>1851</x:v>
      </x:c>
      <x:c r="E76" s="20" t="s">
        <x:v>1852</x:v>
      </x:c>
      <x:c r="F76" s="20" t="s">
        <x:v>1853</x:v>
      </x:c>
      <x:c r="G76" s="34" t="n">
        <x:v>3</x:v>
      </x:c>
    </x:row>
    <x:row r="77" ht="49.5" hidden="0" customHeight="1">
      <x:c r="B77" s="10" t="n">
        <x:v>46373.5</x:v>
      </x:c>
      <x:c r="C77" s="13" t="s">
        <x:v>1845</x:v>
      </x:c>
      <x:c r="D77" s="13" t="s">
        <x:v>1854</x:v>
      </x:c>
      <x:c r="E77" s="13" t="s">
        <x:v>1855</x:v>
      </x:c>
      <x:c r="F77" s="13" t="s">
        <x:v>1744</x:v>
      </x:c>
      <x:c r="G77" s="33" t="n">
        <x:v>3</x:v>
      </x:c>
    </x:row>
    <x:row r="78" ht="49.5" hidden="0" customHeight="1">
      <x:c r="B78" s="17" t="n">
        <x:v>46374.5</x:v>
      </x:c>
      <x:c r="C78" s="20" t="s">
        <x:v>1845</x:v>
      </x:c>
      <x:c r="D78" s="20" t="s">
        <x:v>1856</x:v>
      </x:c>
      <x:c r="E78" s="20" t="s">
        <x:v>1746</x:v>
      </x:c>
      <x:c r="F78" s="20" t="s">
        <x:v>1857</x:v>
      </x:c>
      <x:c r="G78" s="34" t="n">
        <x:v>3</x:v>
      </x:c>
    </x:row>
    <x:row r="79" ht="57.75" hidden="0" customHeight="1">
      <x:c r="B79" s="23" t="n">
        <x:v>46377.5</x:v>
      </x:c>
      <x:c r="C79" s="26" t="s">
        <x:v>1858</x:v>
      </x:c>
      <x:c r="D79" s="26" t="s">
        <x:v>187</x:v>
      </x:c>
      <x:c r="E79" s="26" t="s">
        <x:v>1859</x:v>
      </x:c>
      <x:c r="F79" s="26" t="s">
        <x:v>1860</x:v>
      </x:c>
      <x:c r="G79" s="38" t="n">
        <x:v>3</x:v>
      </x:c>
    </x:row>
    <x:row r="80" ht="72" hidden="0" customHeight="1">
      <x:c r="B80" s="17" t="n">
        <x:v>46378.5</x:v>
      </x:c>
      <x:c r="C80" s="20" t="s">
        <x:v>1858</x:v>
      </x:c>
      <x:c r="D80" s="20" t="s">
        <x:v>1861</x:v>
      </x:c>
      <x:c r="E80" s="20" t="s">
        <x:v>1862</x:v>
      </x:c>
      <x:c r="F80" s="20" t="s">
        <x:v>1738</x:v>
      </x:c>
      <x:c r="G80" s="34" t="n">
        <x:v>3</x:v>
      </x:c>
    </x:row>
    <x:row r="81" ht="49.5" hidden="0" customHeight="1">
      <x:c r="B81" s="10" t="n">
        <x:v>46379.5</x:v>
      </x:c>
      <x:c r="C81" s="13" t="s">
        <x:v>1858</x:v>
      </x:c>
      <x:c r="D81" s="13" t="s">
        <x:v>1863</x:v>
      </x:c>
      <x:c r="E81" s="13" t="s">
        <x:v>1864</x:v>
      </x:c>
      <x:c r="F81" s="13" t="s">
        <x:v>1865</x:v>
      </x:c>
      <x:c r="G81" s="33" t="n">
        <x:v>3</x:v>
      </x:c>
    </x:row>
    <x:row r="82" ht="49.5" hidden="0" customHeight="1">
      <x:c r="B82" s="17" t="n">
        <x:v>46380.5</x:v>
      </x:c>
      <x:c r="C82" s="20" t="s">
        <x:v>1858</x:v>
      </x:c>
      <x:c r="D82" s="20" t="s">
        <x:v>1866</x:v>
      </x:c>
      <x:c r="E82" s="20" t="s">
        <x:v>1867</x:v>
      </x:c>
      <x:c r="F82" s="20" t="s">
        <x:v>1744</x:v>
      </x:c>
      <x:c r="G82" s="34" t="n">
        <x:v>3</x:v>
      </x:c>
    </x:row>
    <x:row r="83" ht="49.5" hidden="0" customHeight="1">
      <x:c r="B83" s="10" t="n">
        <x:v>46381.5</x:v>
      </x:c>
      <x:c r="C83" s="13" t="s">
        <x:v>1858</x:v>
      </x:c>
      <x:c r="D83" s="13" t="s">
        <x:v>1868</x:v>
      </x:c>
      <x:c r="E83" s="13" t="s">
        <x:v>1746</x:v>
      </x:c>
      <x:c r="F83" s="13" t="s">
        <x:v>1869</x:v>
      </x:c>
      <x:c r="G83" s="33" t="n">
        <x:v>3</x:v>
      </x:c>
    </x:row>
    <x:row r="84" ht="72" hidden="0" customHeight="1">
      <x:c r="B84" s="35" t="n">
        <x:v>46384.5</x:v>
      </x:c>
      <x:c r="C84" s="36" t="s">
        <x:v>1870</x:v>
      </x:c>
      <x:c r="D84" s="36" t="s">
        <x:v>195</x:v>
      </x:c>
      <x:c r="E84" s="36" t="s">
        <x:v>1871</x:v>
      </x:c>
      <x:c r="F84" s="36" t="s">
        <x:v>1872</x:v>
      </x:c>
      <x:c r="G84" s="37" t="n">
        <x:v>3</x:v>
      </x:c>
    </x:row>
    <x:row r="85" ht="72" hidden="0" customHeight="1">
      <x:c r="B85" s="10" t="n">
        <x:v>46385.5</x:v>
      </x:c>
      <x:c r="C85" s="13" t="s">
        <x:v>1870</x:v>
      </x:c>
      <x:c r="D85" s="13" t="s">
        <x:v>1873</x:v>
      </x:c>
      <x:c r="E85" s="13" t="s">
        <x:v>1874</x:v>
      </x:c>
      <x:c r="F85" s="13" t="s">
        <x:v>1738</x:v>
      </x:c>
      <x:c r="G85" s="33" t="n">
        <x:v>3</x:v>
      </x:c>
    </x:row>
    <x:row r="86" ht="49.5" hidden="0" customHeight="1">
      <x:c r="B86" s="17" t="n">
        <x:v>46386.5</x:v>
      </x:c>
      <x:c r="C86" s="20" t="s">
        <x:v>1870</x:v>
      </x:c>
      <x:c r="D86" s="20" t="s">
        <x:v>1875</x:v>
      </x:c>
      <x:c r="E86" s="20" t="s">
        <x:v>1876</x:v>
      </x:c>
      <x:c r="F86" s="20" t="s">
        <x:v>1877</x:v>
      </x:c>
      <x:c r="G86" s="34" t="n">
        <x:v>3</x:v>
      </x:c>
    </x:row>
    <x:row r="87" ht="49.5" hidden="0" customHeight="1">
      <x:c r="B87" s="10" t="n">
        <x:v>46387.5</x:v>
      </x:c>
      <x:c r="C87" s="13" t="s">
        <x:v>1870</x:v>
      </x:c>
      <x:c r="D87" s="13" t="s">
        <x:v>1878</x:v>
      </x:c>
      <x:c r="E87" s="13" t="s">
        <x:v>1879</x:v>
      </x:c>
      <x:c r="F87" s="13" t="s">
        <x:v>1744</x:v>
      </x:c>
      <x:c r="G87" s="33" t="n">
        <x:v>3</x:v>
      </x:c>
    </x:row>
    <x:row r="88" ht="49.5" hidden="0" customHeight="1">
      <x:c r="B88" s="17" t="n">
        <x:v>46388.5</x:v>
      </x:c>
      <x:c r="C88" s="20" t="s">
        <x:v>1870</x:v>
      </x:c>
      <x:c r="D88" s="20" t="s">
        <x:v>1880</x:v>
      </x:c>
      <x:c r="E88" s="20" t="s">
        <x:v>1746</x:v>
      </x:c>
      <x:c r="F88" s="20" t="s">
        <x:v>1881</x:v>
      </x:c>
      <x:c r="G88" s="34" t="n">
        <x:v>3</x:v>
      </x:c>
    </x:row>
    <x:row r="89" ht="72" hidden="0" customHeight="1">
      <x:c r="B89" s="23" t="n">
        <x:v>46391.5</x:v>
      </x:c>
      <x:c r="C89" s="26" t="s">
        <x:v>1882</x:v>
      </x:c>
      <x:c r="D89" s="26" t="s">
        <x:v>203</x:v>
      </x:c>
      <x:c r="E89" s="26" t="s">
        <x:v>1883</x:v>
      </x:c>
      <x:c r="F89" s="26" t="s">
        <x:v>1884</x:v>
      </x:c>
      <x:c r="G89" s="38" t="n">
        <x:v>3</x:v>
      </x:c>
    </x:row>
    <x:row r="90" ht="72" hidden="0" customHeight="1">
      <x:c r="B90" s="17" t="n">
        <x:v>46392.5</x:v>
      </x:c>
      <x:c r="C90" s="20" t="s">
        <x:v>1882</x:v>
      </x:c>
      <x:c r="D90" s="20" t="s">
        <x:v>1885</x:v>
      </x:c>
      <x:c r="E90" s="20" t="s">
        <x:v>1886</x:v>
      </x:c>
      <x:c r="F90" s="20" t="s">
        <x:v>1738</x:v>
      </x:c>
      <x:c r="G90" s="34" t="n">
        <x:v>3</x:v>
      </x:c>
    </x:row>
    <x:row r="91" ht="49.5" hidden="0" customHeight="1">
      <x:c r="B91" s="10" t="n">
        <x:v>46393.5</x:v>
      </x:c>
      <x:c r="C91" s="13" t="s">
        <x:v>1882</x:v>
      </x:c>
      <x:c r="D91" s="13" t="s">
        <x:v>1887</x:v>
      </x:c>
      <x:c r="E91" s="13" t="s">
        <x:v>1888</x:v>
      </x:c>
      <x:c r="F91" s="13" t="s">
        <x:v>1889</x:v>
      </x:c>
      <x:c r="G91" s="33" t="n">
        <x:v>3</x:v>
      </x:c>
    </x:row>
    <x:row r="92" ht="49.5" hidden="0" customHeight="1">
      <x:c r="B92" s="17" t="n">
        <x:v>46394.5</x:v>
      </x:c>
      <x:c r="C92" s="20" t="s">
        <x:v>1882</x:v>
      </x:c>
      <x:c r="D92" s="20" t="s">
        <x:v>1890</x:v>
      </x:c>
      <x:c r="E92" s="20" t="s">
        <x:v>1891</x:v>
      </x:c>
      <x:c r="F92" s="20" t="s">
        <x:v>1744</x:v>
      </x:c>
      <x:c r="G92" s="34" t="n">
        <x:v>3</x:v>
      </x:c>
    </x:row>
    <x:row r="93" ht="49.5" hidden="0" customHeight="1">
      <x:c r="B93" s="10" t="n">
        <x:v>46395.5</x:v>
      </x:c>
      <x:c r="C93" s="13" t="s">
        <x:v>1882</x:v>
      </x:c>
      <x:c r="D93" s="13" t="s">
        <x:v>1892</x:v>
      </x:c>
      <x:c r="E93" s="13" t="s">
        <x:v>1746</x:v>
      </x:c>
      <x:c r="F93" s="13" t="s">
        <x:v>1893</x:v>
      </x:c>
      <x:c r="G93" s="33" t="n">
        <x:v>3</x:v>
      </x:c>
    </x:row>
    <x:row r="94" ht="57.75" hidden="0" customHeight="1">
      <x:c r="B94" s="35" t="n">
        <x:v>46398.5</x:v>
      </x:c>
      <x:c r="C94" s="36" t="s">
        <x:v>1894</x:v>
      </x:c>
      <x:c r="D94" s="36" t="s">
        <x:v>211</x:v>
      </x:c>
      <x:c r="E94" s="36" t="s">
        <x:v>1895</x:v>
      </x:c>
      <x:c r="F94" s="36" t="s">
        <x:v>1896</x:v>
      </x:c>
      <x:c r="G94" s="37" t="n">
        <x:v>3</x:v>
      </x:c>
    </x:row>
    <x:row r="95" ht="57.75" hidden="0" customHeight="1">
      <x:c r="B95" s="10" t="n">
        <x:v>46399.5</x:v>
      </x:c>
      <x:c r="C95" s="13" t="s">
        <x:v>1894</x:v>
      </x:c>
      <x:c r="D95" s="13" t="s">
        <x:v>1897</x:v>
      </x:c>
      <x:c r="E95" s="13" t="s">
        <x:v>1898</x:v>
      </x:c>
      <x:c r="F95" s="13" t="s">
        <x:v>1738</x:v>
      </x:c>
      <x:c r="G95" s="33" t="n">
        <x:v>3</x:v>
      </x:c>
    </x:row>
    <x:row r="96" ht="57.75" hidden="0" customHeight="1">
      <x:c r="B96" s="17" t="n">
        <x:v>46400.5</x:v>
      </x:c>
      <x:c r="C96" s="20" t="s">
        <x:v>1894</x:v>
      </x:c>
      <x:c r="D96" s="20" t="s">
        <x:v>1899</x:v>
      </x:c>
      <x:c r="E96" s="20" t="s">
        <x:v>1900</x:v>
      </x:c>
      <x:c r="F96" s="20" t="s">
        <x:v>1901</x:v>
      </x:c>
      <x:c r="G96" s="34" t="n">
        <x:v>3</x:v>
      </x:c>
    </x:row>
    <x:row r="97" ht="49.5" hidden="0" customHeight="1">
      <x:c r="B97" s="10" t="n">
        <x:v>46401.5</x:v>
      </x:c>
      <x:c r="C97" s="13" t="s">
        <x:v>1894</x:v>
      </x:c>
      <x:c r="D97" s="13" t="s">
        <x:v>1902</x:v>
      </x:c>
      <x:c r="E97" s="13" t="s">
        <x:v>1903</x:v>
      </x:c>
      <x:c r="F97" s="13" t="s">
        <x:v>1744</x:v>
      </x:c>
      <x:c r="G97" s="33" t="n">
        <x:v>3</x:v>
      </x:c>
    </x:row>
    <x:row r="98" ht="49.5" hidden="0" customHeight="1">
      <x:c r="B98" s="17" t="n">
        <x:v>46402.5</x:v>
      </x:c>
      <x:c r="C98" s="20" t="s">
        <x:v>1894</x:v>
      </x:c>
      <x:c r="D98" s="20" t="s">
        <x:v>1904</x:v>
      </x:c>
      <x:c r="E98" s="20" t="s">
        <x:v>1746</x:v>
      </x:c>
      <x:c r="F98" s="20" t="s">
        <x:v>1905</x:v>
      </x:c>
      <x:c r="G98" s="34" t="n">
        <x:v>3</x:v>
      </x:c>
    </x:row>
    <x:row r="99" ht="72" hidden="0" customHeight="1">
      <x:c r="B99" s="23" t="n">
        <x:v>46405.5</x:v>
      </x:c>
      <x:c r="C99" s="26" t="s">
        <x:v>1906</x:v>
      </x:c>
      <x:c r="D99" s="26" t="s">
        <x:v>219</x:v>
      </x:c>
      <x:c r="E99" s="26" t="s">
        <x:v>1907</x:v>
      </x:c>
      <x:c r="F99" s="26" t="s">
        <x:v>1908</x:v>
      </x:c>
      <x:c r="G99" s="38" t="n">
        <x:v>3</x:v>
      </x:c>
    </x:row>
    <x:row r="100" ht="57.75" hidden="0" customHeight="1">
      <x:c r="B100" s="17" t="n">
        <x:v>46406.5</x:v>
      </x:c>
      <x:c r="C100" s="20" t="s">
        <x:v>1906</x:v>
      </x:c>
      <x:c r="D100" s="20" t="s">
        <x:v>1909</x:v>
      </x:c>
      <x:c r="E100" s="20" t="s">
        <x:v>1910</x:v>
      </x:c>
      <x:c r="F100" s="20" t="s">
        <x:v>1738</x:v>
      </x:c>
      <x:c r="G100" s="34" t="n">
        <x:v>3</x:v>
      </x:c>
    </x:row>
    <x:row r="101" ht="49.5" hidden="0" customHeight="1">
      <x:c r="B101" s="10" t="n">
        <x:v>46407.5</x:v>
      </x:c>
      <x:c r="C101" s="13" t="s">
        <x:v>1906</x:v>
      </x:c>
      <x:c r="D101" s="13" t="s">
        <x:v>1911</x:v>
      </x:c>
      <x:c r="E101" s="13" t="s">
        <x:v>1912</x:v>
      </x:c>
      <x:c r="F101" s="13" t="s">
        <x:v>1913</x:v>
      </x:c>
      <x:c r="G101" s="33" t="n">
        <x:v>3</x:v>
      </x:c>
    </x:row>
    <x:row r="102" ht="49.5" hidden="0" customHeight="1">
      <x:c r="B102" s="17" t="n">
        <x:v>46408.5</x:v>
      </x:c>
      <x:c r="C102" s="20" t="s">
        <x:v>1906</x:v>
      </x:c>
      <x:c r="D102" s="20" t="s">
        <x:v>1914</x:v>
      </x:c>
      <x:c r="E102" s="20" t="s">
        <x:v>1915</x:v>
      </x:c>
      <x:c r="F102" s="20" t="s">
        <x:v>1744</x:v>
      </x:c>
      <x:c r="G102" s="34" t="n">
        <x:v>3</x:v>
      </x:c>
    </x:row>
    <x:row r="103" ht="49.5" hidden="0" customHeight="1">
      <x:c r="B103" s="10" t="n">
        <x:v>46409.5</x:v>
      </x:c>
      <x:c r="C103" s="13" t="s">
        <x:v>1906</x:v>
      </x:c>
      <x:c r="D103" s="13" t="s">
        <x:v>1916</x:v>
      </x:c>
      <x:c r="E103" s="13" t="s">
        <x:v>1746</x:v>
      </x:c>
      <x:c r="F103" s="13" t="s">
        <x:v>1917</x:v>
      </x:c>
      <x:c r="G103" s="33" t="n">
        <x:v>3</x:v>
      </x:c>
    </x:row>
    <x:row r="104" ht="72" hidden="0" customHeight="1">
      <x:c r="B104" s="35" t="n">
        <x:v>46412.5</x:v>
      </x:c>
      <x:c r="C104" s="36" t="s">
        <x:v>1918</x:v>
      </x:c>
      <x:c r="D104" s="36" t="s">
        <x:v>227</x:v>
      </x:c>
      <x:c r="E104" s="36" t="s">
        <x:v>1919</x:v>
      </x:c>
      <x:c r="F104" s="36" t="s">
        <x:v>1920</x:v>
      </x:c>
      <x:c r="G104" s="37" t="n">
        <x:v>3</x:v>
      </x:c>
    </x:row>
    <x:row r="105" ht="72" hidden="0" customHeight="1">
      <x:c r="B105" s="10" t="n">
        <x:v>46413.5</x:v>
      </x:c>
      <x:c r="C105" s="13" t="s">
        <x:v>1918</x:v>
      </x:c>
      <x:c r="D105" s="13" t="s">
        <x:v>1921</x:v>
      </x:c>
      <x:c r="E105" s="13" t="s">
        <x:v>1922</x:v>
      </x:c>
      <x:c r="F105" s="13" t="s">
        <x:v>1738</x:v>
      </x:c>
      <x:c r="G105" s="33" t="n">
        <x:v>3</x:v>
      </x:c>
    </x:row>
    <x:row r="106" ht="49.5" hidden="0" customHeight="1">
      <x:c r="B106" s="17" t="n">
        <x:v>46414.5</x:v>
      </x:c>
      <x:c r="C106" s="20" t="s">
        <x:v>1918</x:v>
      </x:c>
      <x:c r="D106" s="20" t="s">
        <x:v>1923</x:v>
      </x:c>
      <x:c r="E106" s="20" t="s">
        <x:v>1924</x:v>
      </x:c>
      <x:c r="F106" s="20" t="s">
        <x:v>1925</x:v>
      </x:c>
      <x:c r="G106" s="34" t="n">
        <x:v>3</x:v>
      </x:c>
    </x:row>
    <x:row r="107" ht="49.5" hidden="0" customHeight="1">
      <x:c r="B107" s="10" t="n">
        <x:v>46415.5</x:v>
      </x:c>
      <x:c r="C107" s="13" t="s">
        <x:v>1918</x:v>
      </x:c>
      <x:c r="D107" s="13" t="s">
        <x:v>1926</x:v>
      </x:c>
      <x:c r="E107" s="13" t="s">
        <x:v>1927</x:v>
      </x:c>
      <x:c r="F107" s="13" t="s">
        <x:v>1744</x:v>
      </x:c>
      <x:c r="G107" s="33" t="n">
        <x:v>3</x:v>
      </x:c>
    </x:row>
    <x:row r="108" ht="49.5" hidden="0" customHeight="1">
      <x:c r="B108" s="17" t="n">
        <x:v>46416.5</x:v>
      </x:c>
      <x:c r="C108" s="20" t="s">
        <x:v>1918</x:v>
      </x:c>
      <x:c r="D108" s="20" t="s">
        <x:v>1928</x:v>
      </x:c>
      <x:c r="E108" s="20" t="s">
        <x:v>1746</x:v>
      </x:c>
      <x:c r="F108" s="20" t="s">
        <x:v>1929</x:v>
      </x:c>
      <x:c r="G108" s="34" t="n">
        <x:v>3</x:v>
      </x:c>
    </x:row>
    <x:row r="109" ht="72" hidden="0" customHeight="1">
      <x:c r="B109" s="23" t="n">
        <x:v>46419.5</x:v>
      </x:c>
      <x:c r="C109" s="26" t="s">
        <x:v>1930</x:v>
      </x:c>
      <x:c r="D109" s="26" t="s">
        <x:v>1931</x:v>
      </x:c>
      <x:c r="E109" s="26" t="s">
        <x:v>1932</x:v>
      </x:c>
      <x:c r="F109" s="26" t="s">
        <x:v>1933</x:v>
      </x:c>
      <x:c r="G109" s="38" t="n">
        <x:v>3</x:v>
      </x:c>
    </x:row>
    <x:row r="110" ht="72" hidden="0" customHeight="1">
      <x:c r="B110" s="17" t="n">
        <x:v>46420.5</x:v>
      </x:c>
      <x:c r="C110" s="20" t="s">
        <x:v>1930</x:v>
      </x:c>
      <x:c r="D110" s="20" t="s">
        <x:v>1934</x:v>
      </x:c>
      <x:c r="E110" s="20" t="s">
        <x:v>1935</x:v>
      </x:c>
      <x:c r="F110" s="20" t="s">
        <x:v>1738</x:v>
      </x:c>
      <x:c r="G110" s="34" t="n">
        <x:v>3</x:v>
      </x:c>
    </x:row>
    <x:row r="111" ht="49.5" hidden="0" customHeight="1">
      <x:c r="B111" s="10" t="n">
        <x:v>46421.5</x:v>
      </x:c>
      <x:c r="C111" s="13" t="s">
        <x:v>1930</x:v>
      </x:c>
      <x:c r="D111" s="13" t="s">
        <x:v>1936</x:v>
      </x:c>
      <x:c r="E111" s="13" t="s">
        <x:v>1937</x:v>
      </x:c>
      <x:c r="F111" s="13" t="s">
        <x:v>1938</x:v>
      </x:c>
      <x:c r="G111" s="33" t="n">
        <x:v>3</x:v>
      </x:c>
    </x:row>
    <x:row r="112" ht="49.5" hidden="0" customHeight="1">
      <x:c r="B112" s="17" t="n">
        <x:v>46422.5</x:v>
      </x:c>
      <x:c r="C112" s="20" t="s">
        <x:v>1930</x:v>
      </x:c>
      <x:c r="D112" s="20" t="s">
        <x:v>1939</x:v>
      </x:c>
      <x:c r="E112" s="20" t="s">
        <x:v>1940</x:v>
      </x:c>
      <x:c r="F112" s="20" t="s">
        <x:v>1744</x:v>
      </x:c>
      <x:c r="G112" s="34" t="n">
        <x:v>3</x:v>
      </x:c>
    </x:row>
    <x:row r="113" ht="49.5" hidden="0" customHeight="1">
      <x:c r="B113" s="10" t="n">
        <x:v>46423.5</x:v>
      </x:c>
      <x:c r="C113" s="13" t="s">
        <x:v>1930</x:v>
      </x:c>
      <x:c r="D113" s="13" t="s">
        <x:v>1941</x:v>
      </x:c>
      <x:c r="E113" s="13" t="s">
        <x:v>1746</x:v>
      </x:c>
      <x:c r="F113" s="13" t="s">
        <x:v>1942</x:v>
      </x:c>
      <x:c r="G113" s="33" t="n">
        <x:v>3</x:v>
      </x:c>
    </x:row>
    <x:row r="114" ht="72" hidden="0" customHeight="1">
      <x:c r="B114" s="35" t="n">
        <x:v>46426.5</x:v>
      </x:c>
      <x:c r="C114" s="36" t="s">
        <x:v>1943</x:v>
      </x:c>
      <x:c r="D114" s="36" t="s">
        <x:v>244</x:v>
      </x:c>
      <x:c r="E114" s="36" t="s">
        <x:v>1944</x:v>
      </x:c>
      <x:c r="F114" s="36" t="s">
        <x:v>1945</x:v>
      </x:c>
      <x:c r="G114" s="37" t="n">
        <x:v>3</x:v>
      </x:c>
    </x:row>
    <x:row r="115" ht="57.75" hidden="0" customHeight="1">
      <x:c r="B115" s="10" t="n">
        <x:v>46427.5</x:v>
      </x:c>
      <x:c r="C115" s="13" t="s">
        <x:v>1943</x:v>
      </x:c>
      <x:c r="D115" s="13" t="s">
        <x:v>1946</x:v>
      </x:c>
      <x:c r="E115" s="13" t="s">
        <x:v>1947</x:v>
      </x:c>
      <x:c r="F115" s="13" t="s">
        <x:v>1738</x:v>
      </x:c>
      <x:c r="G115" s="33" t="n">
        <x:v>3</x:v>
      </x:c>
    </x:row>
    <x:row r="116" ht="49.5" hidden="0" customHeight="1">
      <x:c r="B116" s="17" t="n">
        <x:v>46428.5</x:v>
      </x:c>
      <x:c r="C116" s="20" t="s">
        <x:v>1943</x:v>
      </x:c>
      <x:c r="D116" s="20" t="s">
        <x:v>1948</x:v>
      </x:c>
      <x:c r="E116" s="20" t="s">
        <x:v>1949</x:v>
      </x:c>
      <x:c r="F116" s="20" t="s">
        <x:v>1950</x:v>
      </x:c>
      <x:c r="G116" s="34" t="n">
        <x:v>3</x:v>
      </x:c>
    </x:row>
    <x:row r="117" ht="49.5" hidden="0" customHeight="1">
      <x:c r="B117" s="10" t="n">
        <x:v>46429.5</x:v>
      </x:c>
      <x:c r="C117" s="13" t="s">
        <x:v>1943</x:v>
      </x:c>
      <x:c r="D117" s="13" t="s">
        <x:v>1951</x:v>
      </x:c>
      <x:c r="E117" s="13" t="s">
        <x:v>1952</x:v>
      </x:c>
      <x:c r="F117" s="13" t="s">
        <x:v>1744</x:v>
      </x:c>
      <x:c r="G117" s="33" t="n">
        <x:v>3</x:v>
      </x:c>
    </x:row>
    <x:row r="118" ht="49.5" hidden="0" customHeight="1">
      <x:c r="B118" s="17" t="n">
        <x:v>46430.5</x:v>
      </x:c>
      <x:c r="C118" s="20" t="s">
        <x:v>1943</x:v>
      </x:c>
      <x:c r="D118" s="20" t="s">
        <x:v>1953</x:v>
      </x:c>
      <x:c r="E118" s="20" t="s">
        <x:v>1746</x:v>
      </x:c>
      <x:c r="F118" s="20" t="s">
        <x:v>1954</x:v>
      </x:c>
      <x:c r="G118" s="34" t="n">
        <x:v>3</x:v>
      </x:c>
    </x:row>
    <x:row r="119" ht="72" hidden="0" customHeight="1">
      <x:c r="B119" s="23" t="n">
        <x:v>46433.5</x:v>
      </x:c>
      <x:c r="C119" s="26" t="s">
        <x:v>1955</x:v>
      </x:c>
      <x:c r="D119" s="26" t="s">
        <x:v>1956</x:v>
      </x:c>
      <x:c r="E119" s="26" t="s">
        <x:v>1957</x:v>
      </x:c>
      <x:c r="F119" s="26" t="s">
        <x:v>1958</x:v>
      </x:c>
      <x:c r="G119" s="38" t="n">
        <x:v>3</x:v>
      </x:c>
    </x:row>
    <x:row r="120" ht="57.75" hidden="0" customHeight="1">
      <x:c r="B120" s="17" t="n">
        <x:v>46434.5</x:v>
      </x:c>
      <x:c r="C120" s="20" t="s">
        <x:v>1955</x:v>
      </x:c>
      <x:c r="D120" s="20" t="s">
        <x:v>1959</x:v>
      </x:c>
      <x:c r="E120" s="20" t="s">
        <x:v>1960</x:v>
      </x:c>
      <x:c r="F120" s="20" t="s">
        <x:v>1738</x:v>
      </x:c>
      <x:c r="G120" s="34" t="n">
        <x:v>3</x:v>
      </x:c>
    </x:row>
    <x:row r="121" ht="49.5" hidden="0" customHeight="1">
      <x:c r="B121" s="10" t="n">
        <x:v>46435.5</x:v>
      </x:c>
      <x:c r="C121" s="13" t="s">
        <x:v>1955</x:v>
      </x:c>
      <x:c r="D121" s="13" t="s">
        <x:v>1961</x:v>
      </x:c>
      <x:c r="E121" s="13" t="s">
        <x:v>1962</x:v>
      </x:c>
      <x:c r="F121" s="13" t="s">
        <x:v>1963</x:v>
      </x:c>
      <x:c r="G121" s="33" t="n">
        <x:v>3</x:v>
      </x:c>
    </x:row>
    <x:row r="122" ht="49.5" hidden="0" customHeight="1">
      <x:c r="B122" s="17" t="n">
        <x:v>46436.5</x:v>
      </x:c>
      <x:c r="C122" s="20" t="s">
        <x:v>1955</x:v>
      </x:c>
      <x:c r="D122" s="20" t="s">
        <x:v>1964</x:v>
      </x:c>
      <x:c r="E122" s="20" t="s">
        <x:v>1965</x:v>
      </x:c>
      <x:c r="F122" s="20" t="s">
        <x:v>1744</x:v>
      </x:c>
      <x:c r="G122" s="34" t="n">
        <x:v>3</x:v>
      </x:c>
    </x:row>
    <x:row r="123" ht="49.5" hidden="0" customHeight="1">
      <x:c r="B123" s="10" t="n">
        <x:v>46437.5</x:v>
      </x:c>
      <x:c r="C123" s="13" t="s">
        <x:v>1955</x:v>
      </x:c>
      <x:c r="D123" s="13" t="s">
        <x:v>1966</x:v>
      </x:c>
      <x:c r="E123" s="13" t="s">
        <x:v>1746</x:v>
      </x:c>
      <x:c r="F123" s="13" t="s">
        <x:v>1967</x:v>
      </x:c>
      <x:c r="G123" s="33" t="n">
        <x:v>3</x:v>
      </x:c>
    </x:row>
    <x:row r="124" ht="72" hidden="0" customHeight="1">
      <x:c r="B124" s="35" t="n">
        <x:v>46440.5</x:v>
      </x:c>
      <x:c r="C124" s="36" t="s">
        <x:v>1968</x:v>
      </x:c>
      <x:c r="D124" s="36" t="s">
        <x:v>260</x:v>
      </x:c>
      <x:c r="E124" s="36" t="s">
        <x:v>1969</x:v>
      </x:c>
      <x:c r="F124" s="36" t="s">
        <x:v>1970</x:v>
      </x:c>
      <x:c r="G124" s="37" t="n">
        <x:v>3</x:v>
      </x:c>
    </x:row>
    <x:row r="125" ht="57.75" hidden="0" customHeight="1">
      <x:c r="B125" s="10" t="n">
        <x:v>46441.5</x:v>
      </x:c>
      <x:c r="C125" s="13" t="s">
        <x:v>1968</x:v>
      </x:c>
      <x:c r="D125" s="13" t="s">
        <x:v>1971</x:v>
      </x:c>
      <x:c r="E125" s="13" t="s">
        <x:v>1972</x:v>
      </x:c>
      <x:c r="F125" s="13" t="s">
        <x:v>1738</x:v>
      </x:c>
      <x:c r="G125" s="33" t="n">
        <x:v>3</x:v>
      </x:c>
    </x:row>
    <x:row r="126" ht="57.75" hidden="0" customHeight="1">
      <x:c r="B126" s="17" t="n">
        <x:v>46442.5</x:v>
      </x:c>
      <x:c r="C126" s="20" t="s">
        <x:v>1968</x:v>
      </x:c>
      <x:c r="D126" s="20" t="s">
        <x:v>1973</x:v>
      </x:c>
      <x:c r="E126" s="20" t="s">
        <x:v>1974</x:v>
      </x:c>
      <x:c r="F126" s="20" t="s">
        <x:v>1975</x:v>
      </x:c>
      <x:c r="G126" s="34" t="n">
        <x:v>3</x:v>
      </x:c>
    </x:row>
    <x:row r="127" ht="49.5" hidden="0" customHeight="1">
      <x:c r="B127" s="10" t="n">
        <x:v>46443.5</x:v>
      </x:c>
      <x:c r="C127" s="13" t="s">
        <x:v>1968</x:v>
      </x:c>
      <x:c r="D127" s="13" t="s">
        <x:v>1976</x:v>
      </x:c>
      <x:c r="E127" s="13" t="s">
        <x:v>1977</x:v>
      </x:c>
      <x:c r="F127" s="13" t="s">
        <x:v>1744</x:v>
      </x:c>
      <x:c r="G127" s="33" t="n">
        <x:v>3</x:v>
      </x:c>
    </x:row>
    <x:row r="128" ht="49.5" hidden="0" customHeight="1">
      <x:c r="B128" s="17" t="n">
        <x:v>46444.5</x:v>
      </x:c>
      <x:c r="C128" s="20" t="s">
        <x:v>1968</x:v>
      </x:c>
      <x:c r="D128" s="20" t="s">
        <x:v>1978</x:v>
      </x:c>
      <x:c r="E128" s="20" t="s">
        <x:v>1746</x:v>
      </x:c>
      <x:c r="F128" s="20" t="s">
        <x:v>1979</x:v>
      </x:c>
      <x:c r="G128" s="34" t="n">
        <x:v>3</x:v>
      </x:c>
    </x:row>
    <x:row r="129" ht="86.25" hidden="0" customHeight="1">
      <x:c r="B129" s="23" t="n">
        <x:v>46447.5</x:v>
      </x:c>
      <x:c r="C129" s="26" t="s">
        <x:v>1980</x:v>
      </x:c>
      <x:c r="D129" s="26" t="s">
        <x:v>269</x:v>
      </x:c>
      <x:c r="E129" s="26" t="s">
        <x:v>1981</x:v>
      </x:c>
      <x:c r="F129" s="26" t="s">
        <x:v>1982</x:v>
      </x:c>
      <x:c r="G129" s="38" t="n">
        <x:v>3</x:v>
      </x:c>
    </x:row>
    <x:row r="130" ht="57.75" hidden="0" customHeight="1">
      <x:c r="B130" s="17" t="n">
        <x:v>46448.5</x:v>
      </x:c>
      <x:c r="C130" s="20" t="s">
        <x:v>1980</x:v>
      </x:c>
      <x:c r="D130" s="20" t="s">
        <x:v>1983</x:v>
      </x:c>
      <x:c r="E130" s="20" t="s">
        <x:v>1984</x:v>
      </x:c>
      <x:c r="F130" s="20" t="s">
        <x:v>1738</x:v>
      </x:c>
      <x:c r="G130" s="34" t="n">
        <x:v>3</x:v>
      </x:c>
    </x:row>
    <x:row r="131" ht="57.75" hidden="0" customHeight="1">
      <x:c r="B131" s="10" t="n">
        <x:v>46449.5</x:v>
      </x:c>
      <x:c r="C131" s="13" t="s">
        <x:v>1980</x:v>
      </x:c>
      <x:c r="D131" s="13" t="s">
        <x:v>1985</x:v>
      </x:c>
      <x:c r="E131" s="13" t="s">
        <x:v>1986</x:v>
      </x:c>
      <x:c r="F131" s="13" t="s">
        <x:v>1987</x:v>
      </x:c>
      <x:c r="G131" s="33" t="n">
        <x:v>3</x:v>
      </x:c>
    </x:row>
    <x:row r="132" ht="49.5" hidden="0" customHeight="1">
      <x:c r="B132" s="17" t="n">
        <x:v>46450.5</x:v>
      </x:c>
      <x:c r="C132" s="20" t="s">
        <x:v>1980</x:v>
      </x:c>
      <x:c r="D132" s="20" t="s">
        <x:v>1988</x:v>
      </x:c>
      <x:c r="E132" s="20" t="s">
        <x:v>1989</x:v>
      </x:c>
      <x:c r="F132" s="20" t="s">
        <x:v>1744</x:v>
      </x:c>
      <x:c r="G132" s="34" t="n">
        <x:v>3</x:v>
      </x:c>
    </x:row>
    <x:row r="133" ht="49.5" hidden="0" customHeight="1">
      <x:c r="B133" s="10" t="n">
        <x:v>46451.5</x:v>
      </x:c>
      <x:c r="C133" s="13" t="s">
        <x:v>1980</x:v>
      </x:c>
      <x:c r="D133" s="13" t="s">
        <x:v>1990</x:v>
      </x:c>
      <x:c r="E133" s="13" t="s">
        <x:v>1746</x:v>
      </x:c>
      <x:c r="F133" s="13" t="s">
        <x:v>1991</x:v>
      </x:c>
      <x:c r="G133" s="33" t="n">
        <x:v>3</x:v>
      </x:c>
    </x:row>
    <x:row r="134" ht="72" hidden="0" customHeight="1">
      <x:c r="B134" s="35" t="n">
        <x:v>46454.5</x:v>
      </x:c>
      <x:c r="C134" s="36" t="s">
        <x:v>1992</x:v>
      </x:c>
      <x:c r="D134" s="36" t="s">
        <x:v>277</x:v>
      </x:c>
      <x:c r="E134" s="36" t="s">
        <x:v>1993</x:v>
      </x:c>
      <x:c r="F134" s="36" t="s">
        <x:v>1994</x:v>
      </x:c>
      <x:c r="G134" s="37" t="n">
        <x:v>3</x:v>
      </x:c>
    </x:row>
    <x:row r="135" ht="57.75" hidden="0" customHeight="1">
      <x:c r="B135" s="10" t="n">
        <x:v>46455.5</x:v>
      </x:c>
      <x:c r="C135" s="13" t="s">
        <x:v>1992</x:v>
      </x:c>
      <x:c r="D135" s="13" t="s">
        <x:v>1995</x:v>
      </x:c>
      <x:c r="E135" s="13" t="s">
        <x:v>1996</x:v>
      </x:c>
      <x:c r="F135" s="13" t="s">
        <x:v>1738</x:v>
      </x:c>
      <x:c r="G135" s="33" t="n">
        <x:v>3</x:v>
      </x:c>
    </x:row>
    <x:row r="136" ht="49.5" hidden="0" customHeight="1">
      <x:c r="B136" s="17" t="n">
        <x:v>46456.5</x:v>
      </x:c>
      <x:c r="C136" s="20" t="s">
        <x:v>1992</x:v>
      </x:c>
      <x:c r="D136" s="20" t="s">
        <x:v>1997</x:v>
      </x:c>
      <x:c r="E136" s="20" t="s">
        <x:v>1998</x:v>
      </x:c>
      <x:c r="F136" s="20" t="s">
        <x:v>1999</x:v>
      </x:c>
      <x:c r="G136" s="34" t="n">
        <x:v>3</x:v>
      </x:c>
    </x:row>
    <x:row r="137" ht="49.5" hidden="0" customHeight="1">
      <x:c r="B137" s="10" t="n">
        <x:v>46457.5</x:v>
      </x:c>
      <x:c r="C137" s="13" t="s">
        <x:v>1992</x:v>
      </x:c>
      <x:c r="D137" s="13" t="s">
        <x:v>2000</x:v>
      </x:c>
      <x:c r="E137" s="13" t="s">
        <x:v>2001</x:v>
      </x:c>
      <x:c r="F137" s="13" t="s">
        <x:v>1744</x:v>
      </x:c>
      <x:c r="G137" s="33" t="n">
        <x:v>3</x:v>
      </x:c>
    </x:row>
    <x:row r="138" ht="49.5" hidden="0" customHeight="1">
      <x:c r="B138" s="17" t="n">
        <x:v>46458.5</x:v>
      </x:c>
      <x:c r="C138" s="20" t="s">
        <x:v>1992</x:v>
      </x:c>
      <x:c r="D138" s="20" t="s">
        <x:v>2002</x:v>
      </x:c>
      <x:c r="E138" s="20" t="s">
        <x:v>1746</x:v>
      </x:c>
      <x:c r="F138" s="20" t="s">
        <x:v>2003</x:v>
      </x:c>
      <x:c r="G138" s="34" t="n">
        <x:v>3</x:v>
      </x:c>
    </x:row>
    <x:row r="139" ht="72" hidden="0" customHeight="1">
      <x:c r="B139" s="23" t="n">
        <x:v>46461.5</x:v>
      </x:c>
      <x:c r="C139" s="26" t="s">
        <x:v>2004</x:v>
      </x:c>
      <x:c r="D139" s="26" t="s">
        <x:v>2005</x:v>
      </x:c>
      <x:c r="E139" s="26" t="s">
        <x:v>2006</x:v>
      </x:c>
      <x:c r="F139" s="26" t="s">
        <x:v>2007</x:v>
      </x:c>
      <x:c r="G139" s="38" t="n">
        <x:v>3</x:v>
      </x:c>
    </x:row>
    <x:row r="140" ht="72" hidden="0" customHeight="1">
      <x:c r="B140" s="17" t="n">
        <x:v>46462.5</x:v>
      </x:c>
      <x:c r="C140" s="20" t="s">
        <x:v>2004</x:v>
      </x:c>
      <x:c r="D140" s="20" t="s">
        <x:v>2008</x:v>
      </x:c>
      <x:c r="E140" s="20" t="s">
        <x:v>2009</x:v>
      </x:c>
      <x:c r="F140" s="20" t="s">
        <x:v>1738</x:v>
      </x:c>
      <x:c r="G140" s="34" t="n">
        <x:v>3</x:v>
      </x:c>
    </x:row>
    <x:row r="141" ht="49.5" hidden="0" customHeight="1">
      <x:c r="B141" s="10" t="n">
        <x:v>46463.5</x:v>
      </x:c>
      <x:c r="C141" s="13" t="s">
        <x:v>2004</x:v>
      </x:c>
      <x:c r="D141" s="13" t="s">
        <x:v>2010</x:v>
      </x:c>
      <x:c r="E141" s="13" t="s">
        <x:v>2011</x:v>
      </x:c>
      <x:c r="F141" s="13" t="s">
        <x:v>2012</x:v>
      </x:c>
      <x:c r="G141" s="33" t="n">
        <x:v>3</x:v>
      </x:c>
    </x:row>
    <x:row r="142" ht="49.5" hidden="0" customHeight="1">
      <x:c r="B142" s="17" t="n">
        <x:v>46464.5</x:v>
      </x:c>
      <x:c r="C142" s="20" t="s">
        <x:v>2004</x:v>
      </x:c>
      <x:c r="D142" s="20" t="s">
        <x:v>2013</x:v>
      </x:c>
      <x:c r="E142" s="20" t="s">
        <x:v>2014</x:v>
      </x:c>
      <x:c r="F142" s="20" t="s">
        <x:v>1744</x:v>
      </x:c>
      <x:c r="G142" s="34" t="n">
        <x:v>3</x:v>
      </x:c>
    </x:row>
    <x:row r="143" ht="49.5" hidden="0" customHeight="1">
      <x:c r="B143" s="10" t="n">
        <x:v>46465.5</x:v>
      </x:c>
      <x:c r="C143" s="13" t="s">
        <x:v>2004</x:v>
      </x:c>
      <x:c r="D143" s="13" t="s">
        <x:v>2015</x:v>
      </x:c>
      <x:c r="E143" s="13" t="s">
        <x:v>1746</x:v>
      </x:c>
      <x:c r="F143" s="13" t="s">
        <x:v>2016</x:v>
      </x:c>
      <x:c r="G143" s="33" t="n">
        <x:v>3</x:v>
      </x:c>
    </x:row>
    <x:row r="144" ht="57.75" hidden="0" customHeight="1">
      <x:c r="B144" s="35" t="n">
        <x:v>46468.5</x:v>
      </x:c>
      <x:c r="C144" s="36" t="s">
        <x:v>2017</x:v>
      </x:c>
      <x:c r="D144" s="36" t="s">
        <x:v>2018</x:v>
      </x:c>
      <x:c r="E144" s="36" t="s">
        <x:v>2019</x:v>
      </x:c>
      <x:c r="F144" s="36" t="s">
        <x:v>2020</x:v>
      </x:c>
      <x:c r="G144" s="37" t="n">
        <x:v>3</x:v>
      </x:c>
    </x:row>
    <x:row r="145" ht="72" hidden="0" customHeight="1">
      <x:c r="B145" s="10" t="n">
        <x:v>46469.5</x:v>
      </x:c>
      <x:c r="C145" s="13" t="s">
        <x:v>2017</x:v>
      </x:c>
      <x:c r="D145" s="13" t="s">
        <x:v>2021</x:v>
      </x:c>
      <x:c r="E145" s="13" t="s">
        <x:v>2022</x:v>
      </x:c>
      <x:c r="F145" s="13" t="s">
        <x:v>1738</x:v>
      </x:c>
      <x:c r="G145" s="33" t="n">
        <x:v>3</x:v>
      </x:c>
    </x:row>
    <x:row r="146" ht="49.5" hidden="0" customHeight="1">
      <x:c r="B146" s="17" t="n">
        <x:v>46470.5</x:v>
      </x:c>
      <x:c r="C146" s="20" t="s">
        <x:v>2017</x:v>
      </x:c>
      <x:c r="D146" s="20" t="s">
        <x:v>2023</x:v>
      </x:c>
      <x:c r="E146" s="20" t="s">
        <x:v>2024</x:v>
      </x:c>
      <x:c r="F146" s="20" t="s">
        <x:v>2025</x:v>
      </x:c>
      <x:c r="G146" s="34" t="n">
        <x:v>3</x:v>
      </x:c>
    </x:row>
    <x:row r="147" ht="49.5" hidden="0" customHeight="1">
      <x:c r="B147" s="10" t="n">
        <x:v>46471.5</x:v>
      </x:c>
      <x:c r="C147" s="13" t="s">
        <x:v>2017</x:v>
      </x:c>
      <x:c r="D147" s="13" t="s">
        <x:v>2026</x:v>
      </x:c>
      <x:c r="E147" s="13" t="s">
        <x:v>2027</x:v>
      </x:c>
      <x:c r="F147" s="13" t="s">
        <x:v>1744</x:v>
      </x:c>
      <x:c r="G147" s="33" t="n">
        <x:v>3</x:v>
      </x:c>
    </x:row>
    <x:row r="148" ht="49.5" hidden="0" customHeight="1">
      <x:c r="B148" s="17" t="n">
        <x:v>46472.5</x:v>
      </x:c>
      <x:c r="C148" s="20" t="s">
        <x:v>2017</x:v>
      </x:c>
      <x:c r="D148" s="20" t="s">
        <x:v>2028</x:v>
      </x:c>
      <x:c r="E148" s="20" t="s">
        <x:v>1746</x:v>
      </x:c>
      <x:c r="F148" s="20" t="s">
        <x:v>2029</x:v>
      </x:c>
      <x:c r="G148" s="34" t="n">
        <x:v>3</x:v>
      </x:c>
    </x:row>
    <x:row r="149" ht="72" hidden="0" customHeight="1">
      <x:c r="B149" s="23" t="n">
        <x:v>46475.5</x:v>
      </x:c>
      <x:c r="C149" s="26" t="s">
        <x:v>2030</x:v>
      </x:c>
      <x:c r="D149" s="26" t="s">
        <x:v>301</x:v>
      </x:c>
      <x:c r="E149" s="26" t="s">
        <x:v>2031</x:v>
      </x:c>
      <x:c r="F149" s="26" t="s">
        <x:v>2032</x:v>
      </x:c>
      <x:c r="G149" s="38" t="n">
        <x:v>3</x:v>
      </x:c>
    </x:row>
    <x:row r="150" ht="57.75" hidden="0" customHeight="1">
      <x:c r="B150" s="17" t="n">
        <x:v>46476.5</x:v>
      </x:c>
      <x:c r="C150" s="20" t="s">
        <x:v>2030</x:v>
      </x:c>
      <x:c r="D150" s="20" t="s">
        <x:v>2033</x:v>
      </x:c>
      <x:c r="E150" s="20" t="s">
        <x:v>2034</x:v>
      </x:c>
      <x:c r="F150" s="20" t="s">
        <x:v>1738</x:v>
      </x:c>
      <x:c r="G150" s="34" t="n">
        <x:v>3</x:v>
      </x:c>
    </x:row>
    <x:row r="151" ht="49.5" hidden="0" customHeight="1">
      <x:c r="B151" s="10" t="n">
        <x:v>46477.5</x:v>
      </x:c>
      <x:c r="C151" s="13" t="s">
        <x:v>2030</x:v>
      </x:c>
      <x:c r="D151" s="13" t="s">
        <x:v>2035</x:v>
      </x:c>
      <x:c r="E151" s="13" t="s">
        <x:v>2036</x:v>
      </x:c>
      <x:c r="F151" s="13" t="s">
        <x:v>2037</x:v>
      </x:c>
      <x:c r="G151" s="33" t="n">
        <x:v>3</x:v>
      </x:c>
    </x:row>
    <x:row r="152" ht="49.5" hidden="0" customHeight="1">
      <x:c r="B152" s="17" t="n">
        <x:v>46478.5</x:v>
      </x:c>
      <x:c r="C152" s="20" t="s">
        <x:v>2030</x:v>
      </x:c>
      <x:c r="D152" s="20" t="s">
        <x:v>2038</x:v>
      </x:c>
      <x:c r="E152" s="20" t="s">
        <x:v>2039</x:v>
      </x:c>
      <x:c r="F152" s="20" t="s">
        <x:v>1744</x:v>
      </x:c>
      <x:c r="G152" s="34" t="n">
        <x:v>3</x:v>
      </x:c>
    </x:row>
    <x:row r="153" ht="49.5" hidden="0" customHeight="1">
      <x:c r="B153" s="10" t="n">
        <x:v>46479.5</x:v>
      </x:c>
      <x:c r="C153" s="13" t="s">
        <x:v>2030</x:v>
      </x:c>
      <x:c r="D153" s="13" t="s">
        <x:v>2040</x:v>
      </x:c>
      <x:c r="E153" s="13" t="s">
        <x:v>1746</x:v>
      </x:c>
      <x:c r="F153" s="13" t="s">
        <x:v>2041</x:v>
      </x:c>
      <x:c r="G153" s="33" t="n">
        <x:v>3</x:v>
      </x:c>
    </x:row>
    <x:row r="154" ht="72" hidden="0" customHeight="1">
      <x:c r="B154" s="35" t="n">
        <x:v>46482.5</x:v>
      </x:c>
      <x:c r="C154" s="36" t="s">
        <x:v>2042</x:v>
      </x:c>
      <x:c r="D154" s="36" t="s">
        <x:v>2043</x:v>
      </x:c>
      <x:c r="E154" s="36" t="s">
        <x:v>2044</x:v>
      </x:c>
      <x:c r="F154" s="36" t="s">
        <x:v>2045</x:v>
      </x:c>
      <x:c r="G154" s="37" t="n">
        <x:v>3</x:v>
      </x:c>
    </x:row>
    <x:row r="155" ht="57.75" hidden="0" customHeight="1">
      <x:c r="B155" s="10" t="n">
        <x:v>46483.5</x:v>
      </x:c>
      <x:c r="C155" s="13" t="s">
        <x:v>2042</x:v>
      </x:c>
      <x:c r="D155" s="13" t="s">
        <x:v>2046</x:v>
      </x:c>
      <x:c r="E155" s="13" t="s">
        <x:v>2047</x:v>
      </x:c>
      <x:c r="F155" s="13" t="s">
        <x:v>1738</x:v>
      </x:c>
      <x:c r="G155" s="33" t="n">
        <x:v>3</x:v>
      </x:c>
    </x:row>
    <x:row r="156" ht="49.5" hidden="0" customHeight="1">
      <x:c r="B156" s="17" t="n">
        <x:v>46484.5</x:v>
      </x:c>
      <x:c r="C156" s="20" t="s">
        <x:v>2042</x:v>
      </x:c>
      <x:c r="D156" s="20" t="s">
        <x:v>2048</x:v>
      </x:c>
      <x:c r="E156" s="20" t="s">
        <x:v>2049</x:v>
      </x:c>
      <x:c r="F156" s="20" t="s">
        <x:v>2050</x:v>
      </x:c>
      <x:c r="G156" s="34" t="n">
        <x:v>3</x:v>
      </x:c>
    </x:row>
    <x:row r="157" ht="49.5" hidden="0" customHeight="1">
      <x:c r="B157" s="10" t="n">
        <x:v>46485.5</x:v>
      </x:c>
      <x:c r="C157" s="13" t="s">
        <x:v>2042</x:v>
      </x:c>
      <x:c r="D157" s="13" t="s">
        <x:v>2051</x:v>
      </x:c>
      <x:c r="E157" s="13" t="s">
        <x:v>2052</x:v>
      </x:c>
      <x:c r="F157" s="13" t="s">
        <x:v>1744</x:v>
      </x:c>
      <x:c r="G157" s="33" t="n">
        <x:v>3</x:v>
      </x:c>
    </x:row>
    <x:row r="158" ht="49.5" hidden="0" customHeight="1">
      <x:c r="B158" s="17" t="n">
        <x:v>46486.5</x:v>
      </x:c>
      <x:c r="C158" s="20" t="s">
        <x:v>2042</x:v>
      </x:c>
      <x:c r="D158" s="20" t="s">
        <x:v>2053</x:v>
      </x:c>
      <x:c r="E158" s="20" t="s">
        <x:v>1746</x:v>
      </x:c>
      <x:c r="F158" s="20" t="s">
        <x:v>2054</x:v>
      </x:c>
      <x:c r="G158" s="34" t="n">
        <x:v>3</x:v>
      </x:c>
    </x:row>
    <x:row r="159" ht="72" hidden="0" customHeight="1">
      <x:c r="B159" s="23" t="n">
        <x:v>46489.5</x:v>
      </x:c>
      <x:c r="C159" s="26" t="s">
        <x:v>2055</x:v>
      </x:c>
      <x:c r="D159" s="26" t="s">
        <x:v>317</x:v>
      </x:c>
      <x:c r="E159" s="26" t="s">
        <x:v>2056</x:v>
      </x:c>
      <x:c r="F159" s="26" t="s">
        <x:v>2057</x:v>
      </x:c>
      <x:c r="G159" s="38" t="n">
        <x:v>3</x:v>
      </x:c>
    </x:row>
    <x:row r="160" ht="57.75" hidden="0" customHeight="1">
      <x:c r="B160" s="17" t="n">
        <x:v>46490.5</x:v>
      </x:c>
      <x:c r="C160" s="20" t="s">
        <x:v>2055</x:v>
      </x:c>
      <x:c r="D160" s="20" t="s">
        <x:v>2058</x:v>
      </x:c>
      <x:c r="E160" s="20" t="s">
        <x:v>2059</x:v>
      </x:c>
      <x:c r="F160" s="20" t="s">
        <x:v>1738</x:v>
      </x:c>
      <x:c r="G160" s="34" t="n">
        <x:v>3</x:v>
      </x:c>
    </x:row>
    <x:row r="161" ht="49.5" hidden="0" customHeight="1">
      <x:c r="B161" s="10" t="n">
        <x:v>46491.5</x:v>
      </x:c>
      <x:c r="C161" s="13" t="s">
        <x:v>2055</x:v>
      </x:c>
      <x:c r="D161" s="13" t="s">
        <x:v>2060</x:v>
      </x:c>
      <x:c r="E161" s="13" t="s">
        <x:v>2061</x:v>
      </x:c>
      <x:c r="F161" s="13" t="s">
        <x:v>2062</x:v>
      </x:c>
      <x:c r="G161" s="33" t="n">
        <x:v>3</x:v>
      </x:c>
    </x:row>
    <x:row r="162" ht="49.5" hidden="0" customHeight="1">
      <x:c r="B162" s="17" t="n">
        <x:v>46492.5</x:v>
      </x:c>
      <x:c r="C162" s="20" t="s">
        <x:v>2055</x:v>
      </x:c>
      <x:c r="D162" s="20" t="s">
        <x:v>2063</x:v>
      </x:c>
      <x:c r="E162" s="20" t="s">
        <x:v>2064</x:v>
      </x:c>
      <x:c r="F162" s="20" t="s">
        <x:v>1744</x:v>
      </x:c>
      <x:c r="G162" s="34" t="n">
        <x:v>3</x:v>
      </x:c>
    </x:row>
    <x:row r="163" ht="49.5" hidden="0" customHeight="1">
      <x:c r="B163" s="10" t="n">
        <x:v>46493.5</x:v>
      </x:c>
      <x:c r="C163" s="13" t="s">
        <x:v>2055</x:v>
      </x:c>
      <x:c r="D163" s="13" t="s">
        <x:v>2065</x:v>
      </x:c>
      <x:c r="E163" s="13" t="s">
        <x:v>1746</x:v>
      </x:c>
      <x:c r="F163" s="13" t="s">
        <x:v>2066</x:v>
      </x:c>
      <x:c r="G163" s="33" t="n">
        <x:v>3</x:v>
      </x:c>
    </x:row>
    <x:row r="164" ht="57.75" hidden="0" customHeight="1">
      <x:c r="B164" s="35" t="n">
        <x:v>46496.5</x:v>
      </x:c>
      <x:c r="C164" s="36" t="s">
        <x:v>2067</x:v>
      </x:c>
      <x:c r="D164" s="36" t="s">
        <x:v>2068</x:v>
      </x:c>
      <x:c r="E164" s="36" t="s">
        <x:v>2069</x:v>
      </x:c>
      <x:c r="F164" s="36" t="s">
        <x:v>2070</x:v>
      </x:c>
      <x:c r="G164" s="37" t="n">
        <x:v>3</x:v>
      </x:c>
    </x:row>
    <x:row r="165" ht="72" hidden="0" customHeight="1">
      <x:c r="B165" s="10" t="n">
        <x:v>46497.5</x:v>
      </x:c>
      <x:c r="C165" s="13" t="s">
        <x:v>2067</x:v>
      </x:c>
      <x:c r="D165" s="13" t="s">
        <x:v>2071</x:v>
      </x:c>
      <x:c r="E165" s="13" t="s">
        <x:v>2072</x:v>
      </x:c>
      <x:c r="F165" s="13" t="s">
        <x:v>1738</x:v>
      </x:c>
      <x:c r="G165" s="33" t="n">
        <x:v>3</x:v>
      </x:c>
    </x:row>
    <x:row r="166" ht="57.75" hidden="0" customHeight="1">
      <x:c r="B166" s="17" t="n">
        <x:v>46498.5</x:v>
      </x:c>
      <x:c r="C166" s="20" t="s">
        <x:v>2067</x:v>
      </x:c>
      <x:c r="D166" s="20" t="s">
        <x:v>2073</x:v>
      </x:c>
      <x:c r="E166" s="20" t="s">
        <x:v>2074</x:v>
      </x:c>
      <x:c r="F166" s="20" t="s">
        <x:v>2075</x:v>
      </x:c>
      <x:c r="G166" s="34" t="n">
        <x:v>3</x:v>
      </x:c>
    </x:row>
    <x:row r="167" ht="49.5" hidden="0" customHeight="1">
      <x:c r="B167" s="10" t="n">
        <x:v>46499.5</x:v>
      </x:c>
      <x:c r="C167" s="13" t="s">
        <x:v>2067</x:v>
      </x:c>
      <x:c r="D167" s="13" t="s">
        <x:v>2076</x:v>
      </x:c>
      <x:c r="E167" s="13" t="s">
        <x:v>2077</x:v>
      </x:c>
      <x:c r="F167" s="13" t="s">
        <x:v>1744</x:v>
      </x:c>
      <x:c r="G167" s="33" t="n">
        <x:v>3</x:v>
      </x:c>
    </x:row>
    <x:row r="168" ht="49.5" hidden="0" customHeight="1">
      <x:c r="B168" s="17" t="n">
        <x:v>46500.5</x:v>
      </x:c>
      <x:c r="C168" s="20" t="s">
        <x:v>2067</x:v>
      </x:c>
      <x:c r="D168" s="20" t="s">
        <x:v>2078</x:v>
      </x:c>
      <x:c r="E168" s="20" t="s">
        <x:v>1746</x:v>
      </x:c>
      <x:c r="F168" s="20" t="s">
        <x:v>2079</x:v>
      </x:c>
      <x:c r="G168" s="34" t="n">
        <x:v>3</x:v>
      </x:c>
    </x:row>
    <x:row r="169" ht="72" hidden="0" customHeight="1">
      <x:c r="B169" s="23" t="n">
        <x:v>46503.5</x:v>
      </x:c>
      <x:c r="C169" s="26" t="s">
        <x:v>2080</x:v>
      </x:c>
      <x:c r="D169" s="26" t="s">
        <x:v>333</x:v>
      </x:c>
      <x:c r="E169" s="26" t="s">
        <x:v>2081</x:v>
      </x:c>
      <x:c r="F169" s="26" t="s">
        <x:v>2082</x:v>
      </x:c>
      <x:c r="G169" s="38" t="n">
        <x:v>3</x:v>
      </x:c>
    </x:row>
    <x:row r="170" ht="72" hidden="0" customHeight="1">
      <x:c r="B170" s="17" t="n">
        <x:v>46504.5</x:v>
      </x:c>
      <x:c r="C170" s="20" t="s">
        <x:v>2080</x:v>
      </x:c>
      <x:c r="D170" s="20" t="s">
        <x:v>2083</x:v>
      </x:c>
      <x:c r="E170" s="20" t="s">
        <x:v>2084</x:v>
      </x:c>
      <x:c r="F170" s="20" t="s">
        <x:v>1738</x:v>
      </x:c>
      <x:c r="G170" s="34" t="n">
        <x:v>3</x:v>
      </x:c>
    </x:row>
    <x:row r="171" ht="57.75" hidden="0" customHeight="1">
      <x:c r="B171" s="10" t="n">
        <x:v>46505.5</x:v>
      </x:c>
      <x:c r="C171" s="13" t="s">
        <x:v>2080</x:v>
      </x:c>
      <x:c r="D171" s="13" t="s">
        <x:v>2085</x:v>
      </x:c>
      <x:c r="E171" s="13" t="s">
        <x:v>2086</x:v>
      </x:c>
      <x:c r="F171" s="13" t="s">
        <x:v>2087</x:v>
      </x:c>
      <x:c r="G171" s="33" t="n">
        <x:v>3</x:v>
      </x:c>
    </x:row>
    <x:row r="172" ht="49.5" hidden="0" customHeight="1">
      <x:c r="B172" s="17" t="n">
        <x:v>46506.5</x:v>
      </x:c>
      <x:c r="C172" s="20" t="s">
        <x:v>2080</x:v>
      </x:c>
      <x:c r="D172" s="20" t="s">
        <x:v>2088</x:v>
      </x:c>
      <x:c r="E172" s="20" t="s">
        <x:v>2089</x:v>
      </x:c>
      <x:c r="F172" s="20" t="s">
        <x:v>1744</x:v>
      </x:c>
      <x:c r="G172" s="34" t="n">
        <x:v>3</x:v>
      </x:c>
    </x:row>
    <x:row r="173" ht="49.5" hidden="0" customHeight="1">
      <x:c r="B173" s="10" t="n">
        <x:v>46507.5</x:v>
      </x:c>
      <x:c r="C173" s="13" t="s">
        <x:v>2080</x:v>
      </x:c>
      <x:c r="D173" s="13" t="s">
        <x:v>2090</x:v>
      </x:c>
      <x:c r="E173" s="13" t="s">
        <x:v>1746</x:v>
      </x:c>
      <x:c r="F173" s="13" t="s">
        <x:v>2091</x:v>
      </x:c>
      <x:c r="G173" s="33" t="n">
        <x:v>3</x:v>
      </x:c>
    </x:row>
    <x:row r="174" ht="72" hidden="0" customHeight="1">
      <x:c r="B174" s="35" t="n">
        <x:v>46510.5</x:v>
      </x:c>
      <x:c r="C174" s="36" t="s">
        <x:v>2092</x:v>
      </x:c>
      <x:c r="D174" s="36" t="s">
        <x:v>341</x:v>
      </x:c>
      <x:c r="E174" s="36" t="s">
        <x:v>2093</x:v>
      </x:c>
      <x:c r="F174" s="36" t="s">
        <x:v>2094</x:v>
      </x:c>
      <x:c r="G174" s="37" t="n">
        <x:v>3</x:v>
      </x:c>
    </x:row>
    <x:row r="175" ht="72" hidden="0" customHeight="1">
      <x:c r="B175" s="10" t="n">
        <x:v>46511.5</x:v>
      </x:c>
      <x:c r="C175" s="13" t="s">
        <x:v>2092</x:v>
      </x:c>
      <x:c r="D175" s="13" t="s">
        <x:v>2095</x:v>
      </x:c>
      <x:c r="E175" s="13" t="s">
        <x:v>2096</x:v>
      </x:c>
      <x:c r="F175" s="13" t="s">
        <x:v>1738</x:v>
      </x:c>
      <x:c r="G175" s="33" t="n">
        <x:v>3</x:v>
      </x:c>
    </x:row>
    <x:row r="176" ht="49.5" hidden="0" customHeight="1">
      <x:c r="B176" s="17" t="n">
        <x:v>46512.5</x:v>
      </x:c>
      <x:c r="C176" s="20" t="s">
        <x:v>2092</x:v>
      </x:c>
      <x:c r="D176" s="20" t="s">
        <x:v>2097</x:v>
      </x:c>
      <x:c r="E176" s="20" t="s">
        <x:v>2098</x:v>
      </x:c>
      <x:c r="F176" s="20" t="s">
        <x:v>2099</x:v>
      </x:c>
      <x:c r="G176" s="34" t="n">
        <x:v>3</x:v>
      </x:c>
    </x:row>
    <x:row r="177" ht="49.5" hidden="0" customHeight="1">
      <x:c r="B177" s="10" t="n">
        <x:v>46513.5</x:v>
      </x:c>
      <x:c r="C177" s="13" t="s">
        <x:v>2092</x:v>
      </x:c>
      <x:c r="D177" s="13" t="s">
        <x:v>2100</x:v>
      </x:c>
      <x:c r="E177" s="13" t="s">
        <x:v>2101</x:v>
      </x:c>
      <x:c r="F177" s="13" t="s">
        <x:v>1744</x:v>
      </x:c>
      <x:c r="G177" s="33" t="n">
        <x:v>3</x:v>
      </x:c>
    </x:row>
    <x:row r="178" ht="49.5" hidden="0" customHeight="1">
      <x:c r="B178" s="17" t="n">
        <x:v>46514.5</x:v>
      </x:c>
      <x:c r="C178" s="20" t="s">
        <x:v>2092</x:v>
      </x:c>
      <x:c r="D178" s="20" t="s">
        <x:v>2102</x:v>
      </x:c>
      <x:c r="E178" s="20" t="s">
        <x:v>1746</x:v>
      </x:c>
      <x:c r="F178" s="20" t="s">
        <x:v>2103</x:v>
      </x:c>
      <x:c r="G178" s="34" t="n">
        <x:v>3</x:v>
      </x:c>
    </x:row>
    <x:row r="179" ht="72" hidden="0" customHeight="1">
      <x:c r="B179" s="23" t="n">
        <x:v>46517.5</x:v>
      </x:c>
      <x:c r="C179" s="26" t="s">
        <x:v>2104</x:v>
      </x:c>
      <x:c r="D179" s="26" t="s">
        <x:v>349</x:v>
      </x:c>
      <x:c r="E179" s="26" t="s">
        <x:v>2105</x:v>
      </x:c>
      <x:c r="F179" s="26" t="s">
        <x:v>2106</x:v>
      </x:c>
      <x:c r="G179" s="38" t="n">
        <x:v>3</x:v>
      </x:c>
    </x:row>
    <x:row r="180" ht="72" hidden="0" customHeight="1">
      <x:c r="B180" s="17" t="n">
        <x:v>46518.5</x:v>
      </x:c>
      <x:c r="C180" s="20" t="s">
        <x:v>2104</x:v>
      </x:c>
      <x:c r="D180" s="20" t="s">
        <x:v>2107</x:v>
      </x:c>
      <x:c r="E180" s="20" t="s">
        <x:v>2108</x:v>
      </x:c>
      <x:c r="F180" s="20" t="s">
        <x:v>1738</x:v>
      </x:c>
      <x:c r="G180" s="34" t="n">
        <x:v>3</x:v>
      </x:c>
    </x:row>
    <x:row r="181" ht="49.5" hidden="0" customHeight="1">
      <x:c r="B181" s="10" t="n">
        <x:v>46519.5</x:v>
      </x:c>
      <x:c r="C181" s="13" t="s">
        <x:v>2104</x:v>
      </x:c>
      <x:c r="D181" s="13" t="s">
        <x:v>2109</x:v>
      </x:c>
      <x:c r="E181" s="13" t="s">
        <x:v>2110</x:v>
      </x:c>
      <x:c r="F181" s="13" t="s">
        <x:v>2111</x:v>
      </x:c>
      <x:c r="G181" s="33" t="n">
        <x:v>3</x:v>
      </x:c>
    </x:row>
    <x:row r="182" ht="49.5" hidden="0" customHeight="1">
      <x:c r="B182" s="17" t="n">
        <x:v>46520.5</x:v>
      </x:c>
      <x:c r="C182" s="20" t="s">
        <x:v>2104</x:v>
      </x:c>
      <x:c r="D182" s="20" t="s">
        <x:v>2112</x:v>
      </x:c>
      <x:c r="E182" s="20" t="s">
        <x:v>2113</x:v>
      </x:c>
      <x:c r="F182" s="20" t="s">
        <x:v>1744</x:v>
      </x:c>
      <x:c r="G182" s="34" t="n">
        <x:v>3</x:v>
      </x:c>
    </x:row>
    <x:row r="183" ht="49.5" hidden="0" customHeight="1">
      <x:c r="B183" s="10" t="n">
        <x:v>46521.5</x:v>
      </x:c>
      <x:c r="C183" s="13" t="s">
        <x:v>2104</x:v>
      </x:c>
      <x:c r="D183" s="13" t="s">
        <x:v>2114</x:v>
      </x:c>
      <x:c r="E183" s="13" t="s">
        <x:v>1746</x:v>
      </x:c>
      <x:c r="F183" s="13" t="s">
        <x:v>2115</x:v>
      </x:c>
      <x:c r="G183" s="33" t="n">
        <x:v>3</x:v>
      </x:c>
    </x:row>
    <x:row r="184" ht="57.75" hidden="0" customHeight="1">
      <x:c r="B184" s="35" t="n">
        <x:v>46524.5</x:v>
      </x:c>
      <x:c r="C184" s="36" t="s">
        <x:v>2116</x:v>
      </x:c>
      <x:c r="D184" s="36" t="s">
        <x:v>2117</x:v>
      </x:c>
      <x:c r="E184" s="36" t="s">
        <x:v>2118</x:v>
      </x:c>
      <x:c r="F184" s="36" t="s">
        <x:v>2119</x:v>
      </x:c>
      <x:c r="G184" s="37" t="n">
        <x:v>3</x:v>
      </x:c>
    </x:row>
    <x:row r="185" ht="72" hidden="0" customHeight="1">
      <x:c r="B185" s="10" t="n">
        <x:v>46525.5</x:v>
      </x:c>
      <x:c r="C185" s="13" t="s">
        <x:v>2116</x:v>
      </x:c>
      <x:c r="D185" s="13" t="s">
        <x:v>2120</x:v>
      </x:c>
      <x:c r="E185" s="13" t="s">
        <x:v>2121</x:v>
      </x:c>
      <x:c r="F185" s="13" t="s">
        <x:v>1738</x:v>
      </x:c>
      <x:c r="G185" s="33" t="n">
        <x:v>3</x:v>
      </x:c>
    </x:row>
    <x:row r="186" ht="49.5" hidden="0" customHeight="1">
      <x:c r="B186" s="17" t="n">
        <x:v>46526.5</x:v>
      </x:c>
      <x:c r="C186" s="20" t="s">
        <x:v>2116</x:v>
      </x:c>
      <x:c r="D186" s="20" t="s">
        <x:v>2122</x:v>
      </x:c>
      <x:c r="E186" s="20" t="s">
        <x:v>2123</x:v>
      </x:c>
      <x:c r="F186" s="20" t="s">
        <x:v>2124</x:v>
      </x:c>
      <x:c r="G186" s="34" t="n">
        <x:v>3</x:v>
      </x:c>
    </x:row>
    <x:row r="187" ht="49.5" hidden="0" customHeight="1">
      <x:c r="B187" s="10" t="n">
        <x:v>46527.5</x:v>
      </x:c>
      <x:c r="C187" s="13" t="s">
        <x:v>2116</x:v>
      </x:c>
      <x:c r="D187" s="13" t="s">
        <x:v>2125</x:v>
      </x:c>
      <x:c r="E187" s="13" t="s">
        <x:v>2126</x:v>
      </x:c>
      <x:c r="F187" s="13" t="s">
        <x:v>1744</x:v>
      </x:c>
      <x:c r="G187" s="33" t="n">
        <x:v>3</x:v>
      </x:c>
    </x:row>
    <x:row r="188" ht="49.5" hidden="0" customHeight="1">
      <x:c r="B188" s="17" t="n">
        <x:v>46528.5</x:v>
      </x:c>
      <x:c r="C188" s="20" t="s">
        <x:v>2116</x:v>
      </x:c>
      <x:c r="D188" s="20" t="s">
        <x:v>2127</x:v>
      </x:c>
      <x:c r="E188" s="20" t="s">
        <x:v>1746</x:v>
      </x:c>
      <x:c r="F188" s="20" t="s">
        <x:v>2128</x:v>
      </x:c>
      <x:c r="G188" s="34" t="n">
        <x:v>3</x:v>
      </x:c>
    </x:row>
    <x:row r="189" ht="72" hidden="0" customHeight="1">
      <x:c r="B189" s="23" t="n">
        <x:v>46531.5</x:v>
      </x:c>
      <x:c r="C189" s="26" t="s">
        <x:v>2129</x:v>
      </x:c>
      <x:c r="D189" s="26" t="s">
        <x:v>365</x:v>
      </x:c>
      <x:c r="E189" s="26" t="s">
        <x:v>2130</x:v>
      </x:c>
      <x:c r="F189" s="26" t="s">
        <x:v>2131</x:v>
      </x:c>
      <x:c r="G189" s="38" t="n">
        <x:v>3</x:v>
      </x:c>
    </x:row>
    <x:row r="190" ht="72" hidden="0" customHeight="1">
      <x:c r="B190" s="17" t="n">
        <x:v>46532.5</x:v>
      </x:c>
      <x:c r="C190" s="20" t="s">
        <x:v>2129</x:v>
      </x:c>
      <x:c r="D190" s="20" t="s">
        <x:v>2132</x:v>
      </x:c>
      <x:c r="E190" s="20" t="s">
        <x:v>2133</x:v>
      </x:c>
      <x:c r="F190" s="20" t="s">
        <x:v>1738</x:v>
      </x:c>
      <x:c r="G190" s="34" t="n">
        <x:v>3</x:v>
      </x:c>
    </x:row>
    <x:row r="191" ht="49.5" hidden="0" customHeight="1">
      <x:c r="B191" s="10" t="n">
        <x:v>46533.5</x:v>
      </x:c>
      <x:c r="C191" s="13" t="s">
        <x:v>2129</x:v>
      </x:c>
      <x:c r="D191" s="13" t="s">
        <x:v>2134</x:v>
      </x:c>
      <x:c r="E191" s="13" t="s">
        <x:v>2135</x:v>
      </x:c>
      <x:c r="F191" s="13" t="s">
        <x:v>2136</x:v>
      </x:c>
      <x:c r="G191" s="33" t="n">
        <x:v>3</x:v>
      </x:c>
    </x:row>
    <x:row r="192" ht="49.5" hidden="0" customHeight="1">
      <x:c r="B192" s="17" t="n">
        <x:v>46534.5</x:v>
      </x:c>
      <x:c r="C192" s="20" t="s">
        <x:v>2129</x:v>
      </x:c>
      <x:c r="D192" s="20" t="s">
        <x:v>2137</x:v>
      </x:c>
      <x:c r="E192" s="20" t="s">
        <x:v>2138</x:v>
      </x:c>
      <x:c r="F192" s="20" t="s">
        <x:v>1744</x:v>
      </x:c>
      <x:c r="G192" s="34" t="n">
        <x:v>3</x:v>
      </x:c>
    </x:row>
    <x:row r="193" ht="49.5" hidden="0" customHeight="1">
      <x:c r="B193" s="10" t="n">
        <x:v>46535.5</x:v>
      </x:c>
      <x:c r="C193" s="13" t="s">
        <x:v>2129</x:v>
      </x:c>
      <x:c r="D193" s="13" t="s">
        <x:v>2139</x:v>
      </x:c>
      <x:c r="E193" s="13" t="s">
        <x:v>1746</x:v>
      </x:c>
      <x:c r="F193" s="13" t="s">
        <x:v>2140</x:v>
      </x:c>
      <x:c r="G193" s="33" t="n">
        <x:v>3</x:v>
      </x:c>
    </x:row>
    <x:row r="194" ht="72" hidden="0" customHeight="1">
      <x:c r="B194" s="35" t="n">
        <x:v>46538.5</x:v>
      </x:c>
      <x:c r="C194" s="36" t="s">
        <x:v>2141</x:v>
      </x:c>
      <x:c r="D194" s="36" t="s">
        <x:v>373</x:v>
      </x:c>
      <x:c r="E194" s="36" t="s">
        <x:v>2142</x:v>
      </x:c>
      <x:c r="F194" s="36" t="s">
        <x:v>2143</x:v>
      </x:c>
      <x:c r="G194" s="37" t="n">
        <x:v>3</x:v>
      </x:c>
    </x:row>
    <x:row r="195" ht="72" hidden="0" customHeight="1">
      <x:c r="B195" s="10" t="n">
        <x:v>46539.5</x:v>
      </x:c>
      <x:c r="C195" s="13" t="s">
        <x:v>2141</x:v>
      </x:c>
      <x:c r="D195" s="13" t="s">
        <x:v>2144</x:v>
      </x:c>
      <x:c r="E195" s="13" t="s">
        <x:v>2145</x:v>
      </x:c>
      <x:c r="F195" s="13" t="s">
        <x:v>1738</x:v>
      </x:c>
      <x:c r="G195" s="33" t="n">
        <x:v>3</x:v>
      </x:c>
    </x:row>
    <x:row r="196" ht="49.5" hidden="0" customHeight="1">
      <x:c r="B196" s="17" t="n">
        <x:v>46540.5</x:v>
      </x:c>
      <x:c r="C196" s="20" t="s">
        <x:v>2141</x:v>
      </x:c>
      <x:c r="D196" s="20" t="s">
        <x:v>2146</x:v>
      </x:c>
      <x:c r="E196" s="20" t="s">
        <x:v>2147</x:v>
      </x:c>
      <x:c r="F196" s="20" t="s">
        <x:v>2148</x:v>
      </x:c>
      <x:c r="G196" s="34" t="n">
        <x:v>3</x:v>
      </x:c>
    </x:row>
    <x:row r="197" ht="49.5" hidden="0" customHeight="1">
      <x:c r="B197" s="10" t="n">
        <x:v>46541.5</x:v>
      </x:c>
      <x:c r="C197" s="13" t="s">
        <x:v>2141</x:v>
      </x:c>
      <x:c r="D197" s="13" t="s">
        <x:v>2149</x:v>
      </x:c>
      <x:c r="E197" s="13" t="s">
        <x:v>2150</x:v>
      </x:c>
      <x:c r="F197" s="13" t="s">
        <x:v>1744</x:v>
      </x:c>
      <x:c r="G197" s="33" t="n">
        <x:v>3</x:v>
      </x:c>
    </x:row>
    <x:row r="198" ht="49.5" hidden="0" customHeight="1">
      <x:c r="B198" s="17" t="n">
        <x:v>46542.5</x:v>
      </x:c>
      <x:c r="C198" s="20" t="s">
        <x:v>2141</x:v>
      </x:c>
      <x:c r="D198" s="20" t="s">
        <x:v>2151</x:v>
      </x:c>
      <x:c r="E198" s="20" t="s">
        <x:v>1746</x:v>
      </x:c>
      <x:c r="F198" s="20" t="s">
        <x:v>2152</x:v>
      </x:c>
      <x:c r="G198" s="34" t="n">
        <x:v>3</x:v>
      </x:c>
    </x:row>
    <x:row r="199" ht="72" hidden="0" customHeight="1">
      <x:c r="B199" s="23" t="n">
        <x:v>46545.5</x:v>
      </x:c>
      <x:c r="C199" s="26" t="s">
        <x:v>2153</x:v>
      </x:c>
      <x:c r="D199" s="26" t="s">
        <x:v>381</x:v>
      </x:c>
      <x:c r="E199" s="26" t="s">
        <x:v>2154</x:v>
      </x:c>
      <x:c r="F199" s="26" t="s">
        <x:v>2155</x:v>
      </x:c>
      <x:c r="G199" s="38" t="n">
        <x:v>3</x:v>
      </x:c>
    </x:row>
    <x:row r="200" ht="57.75" hidden="0" customHeight="1">
      <x:c r="B200" s="17" t="n">
        <x:v>46546.5</x:v>
      </x:c>
      <x:c r="C200" s="20" t="s">
        <x:v>2153</x:v>
      </x:c>
      <x:c r="D200" s="20" t="s">
        <x:v>2156</x:v>
      </x:c>
      <x:c r="E200" s="20" t="s">
        <x:v>2157</x:v>
      </x:c>
      <x:c r="F200" s="20" t="s">
        <x:v>1738</x:v>
      </x:c>
      <x:c r="G200" s="34" t="n">
        <x:v>3</x:v>
      </x:c>
    </x:row>
    <x:row r="201" ht="49.5" hidden="0" customHeight="1">
      <x:c r="B201" s="10" t="n">
        <x:v>46547.5</x:v>
      </x:c>
      <x:c r="C201" s="13" t="s">
        <x:v>2153</x:v>
      </x:c>
      <x:c r="D201" s="13" t="s">
        <x:v>2158</x:v>
      </x:c>
      <x:c r="E201" s="13" t="s">
        <x:v>2159</x:v>
      </x:c>
      <x:c r="F201" s="13" t="s">
        <x:v>2160</x:v>
      </x:c>
      <x:c r="G201" s="33" t="n">
        <x:v>3</x:v>
      </x:c>
    </x:row>
    <x:row r="202" ht="49.5" hidden="0" customHeight="1">
      <x:c r="B202" s="17" t="n">
        <x:v>46548.5</x:v>
      </x:c>
      <x:c r="C202" s="20" t="s">
        <x:v>2153</x:v>
      </x:c>
      <x:c r="D202" s="20" t="s">
        <x:v>2161</x:v>
      </x:c>
      <x:c r="E202" s="20" t="s">
        <x:v>2162</x:v>
      </x:c>
      <x:c r="F202" s="20" t="s">
        <x:v>1744</x:v>
      </x:c>
      <x:c r="G202" s="34" t="n">
        <x:v>3</x:v>
      </x:c>
    </x:row>
    <x:row r="203" ht="49.5" hidden="0" customHeight="1">
      <x:c r="B203" s="10" t="n">
        <x:v>46549.5</x:v>
      </x:c>
      <x:c r="C203" s="13" t="s">
        <x:v>2153</x:v>
      </x:c>
      <x:c r="D203" s="13" t="s">
        <x:v>2163</x:v>
      </x:c>
      <x:c r="E203" s="13" t="s">
        <x:v>1746</x:v>
      </x:c>
      <x:c r="F203" s="13" t="s">
        <x:v>2164</x:v>
      </x:c>
      <x:c r="G203" s="33" t="n">
        <x:v>3</x:v>
      </x:c>
    </x:row>
    <x:row r="204" ht="72" hidden="0" customHeight="1">
      <x:c r="B204" s="35" t="n">
        <x:v>46552.5</x:v>
      </x:c>
      <x:c r="C204" s="36" t="s">
        <x:v>2165</x:v>
      </x:c>
      <x:c r="D204" s="36" t="s">
        <x:v>389</x:v>
      </x:c>
      <x:c r="E204" s="36" t="s">
        <x:v>2166</x:v>
      </x:c>
      <x:c r="F204" s="36" t="s">
        <x:v>2167</x:v>
      </x:c>
      <x:c r="G204" s="37" t="n">
        <x:v>3</x:v>
      </x:c>
    </x:row>
    <x:row r="205" ht="72" hidden="0" customHeight="1">
      <x:c r="B205" s="10" t="n">
        <x:v>46553.5</x:v>
      </x:c>
      <x:c r="C205" s="13" t="s">
        <x:v>2165</x:v>
      </x:c>
      <x:c r="D205" s="13" t="s">
        <x:v>2168</x:v>
      </x:c>
      <x:c r="E205" s="13" t="s">
        <x:v>2169</x:v>
      </x:c>
      <x:c r="F205" s="13" t="s">
        <x:v>1738</x:v>
      </x:c>
      <x:c r="G205" s="33" t="n">
        <x:v>3</x:v>
      </x:c>
    </x:row>
    <x:row r="206" ht="49.5" hidden="0" customHeight="1">
      <x:c r="B206" s="17" t="n">
        <x:v>46554.5</x:v>
      </x:c>
      <x:c r="C206" s="20" t="s">
        <x:v>2165</x:v>
      </x:c>
      <x:c r="D206" s="20" t="s">
        <x:v>2170</x:v>
      </x:c>
      <x:c r="E206" s="20" t="s">
        <x:v>2171</x:v>
      </x:c>
      <x:c r="F206" s="20" t="s">
        <x:v>2172</x:v>
      </x:c>
      <x:c r="G206" s="34" t="n">
        <x:v>3</x:v>
      </x:c>
    </x:row>
    <x:row r="207" ht="49.5" hidden="0" customHeight="1">
      <x:c r="B207" s="10" t="n">
        <x:v>46555.5</x:v>
      </x:c>
      <x:c r="C207" s="13" t="s">
        <x:v>2165</x:v>
      </x:c>
      <x:c r="D207" s="13" t="s">
        <x:v>2173</x:v>
      </x:c>
      <x:c r="E207" s="13" t="s">
        <x:v>2174</x:v>
      </x:c>
      <x:c r="F207" s="13" t="s">
        <x:v>1744</x:v>
      </x:c>
      <x:c r="G207" s="33" t="n">
        <x:v>3</x:v>
      </x:c>
    </x:row>
    <x:row r="208" ht="49.5" hidden="0" customHeight="1">
      <x:c r="B208" s="17" t="n">
        <x:v>46556.5</x:v>
      </x:c>
      <x:c r="C208" s="20" t="s">
        <x:v>2165</x:v>
      </x:c>
      <x:c r="D208" s="20" t="s">
        <x:v>2175</x:v>
      </x:c>
      <x:c r="E208" s="20" t="s">
        <x:v>1746</x:v>
      </x:c>
      <x:c r="F208" s="20" t="s">
        <x:v>2176</x:v>
      </x:c>
      <x:c r="G208" s="34" t="n">
        <x:v>3</x:v>
      </x:c>
    </x:row>
    <x:row r="209" ht="72" hidden="0" customHeight="1">
      <x:c r="B209" s="23" t="n">
        <x:v>46559.5</x:v>
      </x:c>
      <x:c r="C209" s="26" t="s">
        <x:v>2177</x:v>
      </x:c>
      <x:c r="D209" s="26" t="s">
        <x:v>2178</x:v>
      </x:c>
      <x:c r="E209" s="26" t="s">
        <x:v>2179</x:v>
      </x:c>
      <x:c r="F209" s="26" t="s">
        <x:v>2180</x:v>
      </x:c>
      <x:c r="G209" s="38" t="n">
        <x:v>3</x:v>
      </x:c>
    </x:row>
    <x:row r="210" ht="72" hidden="0" customHeight="1">
      <x:c r="B210" s="17" t="n">
        <x:v>46560.5</x:v>
      </x:c>
      <x:c r="C210" s="20" t="s">
        <x:v>2177</x:v>
      </x:c>
      <x:c r="D210" s="20" t="s">
        <x:v>2181</x:v>
      </x:c>
      <x:c r="E210" s="20" t="s">
        <x:v>2182</x:v>
      </x:c>
      <x:c r="F210" s="20" t="s">
        <x:v>1738</x:v>
      </x:c>
      <x:c r="G210" s="34" t="n">
        <x:v>3</x:v>
      </x:c>
    </x:row>
    <x:row r="211" ht="49.5" hidden="0" customHeight="1">
      <x:c r="B211" s="10" t="n">
        <x:v>46561.5</x:v>
      </x:c>
      <x:c r="C211" s="13" t="s">
        <x:v>2177</x:v>
      </x:c>
      <x:c r="D211" s="13" t="s">
        <x:v>2183</x:v>
      </x:c>
      <x:c r="E211" s="13" t="s">
        <x:v>2184</x:v>
      </x:c>
      <x:c r="F211" s="13" t="s">
        <x:v>2185</x:v>
      </x:c>
      <x:c r="G211" s="33" t="n">
        <x:v>3</x:v>
      </x:c>
    </x:row>
    <x:row r="212" ht="49.5" hidden="0" customHeight="1">
      <x:c r="B212" s="17" t="n">
        <x:v>46562.5</x:v>
      </x:c>
      <x:c r="C212" s="20" t="s">
        <x:v>2177</x:v>
      </x:c>
      <x:c r="D212" s="20" t="s">
        <x:v>2186</x:v>
      </x:c>
      <x:c r="E212" s="20" t="s">
        <x:v>2187</x:v>
      </x:c>
      <x:c r="F212" s="20" t="s">
        <x:v>1744</x:v>
      </x:c>
      <x:c r="G212" s="34" t="n">
        <x:v>3</x:v>
      </x:c>
    </x:row>
    <x:row r="213" ht="49.5" hidden="0" customHeight="1">
      <x:c r="B213" s="10" t="n">
        <x:v>46563.5</x:v>
      </x:c>
      <x:c r="C213" s="13" t="s">
        <x:v>2177</x:v>
      </x:c>
      <x:c r="D213" s="13" t="s">
        <x:v>2188</x:v>
      </x:c>
      <x:c r="E213" s="13" t="s">
        <x:v>1746</x:v>
      </x:c>
      <x:c r="F213" s="13" t="s">
        <x:v>2189</x:v>
      </x:c>
      <x:c r="G213" s="33" t="n">
        <x:v>3</x:v>
      </x:c>
    </x:row>
    <x:row r="214" ht="72" hidden="0" customHeight="1">
      <x:c r="B214" s="35" t="n">
        <x:v>46566.5</x:v>
      </x:c>
      <x:c r="C214" s="36" t="s">
        <x:v>2190</x:v>
      </x:c>
      <x:c r="D214" s="36" t="s">
        <x:v>2191</x:v>
      </x:c>
      <x:c r="E214" s="36" t="s">
        <x:v>2192</x:v>
      </x:c>
      <x:c r="F214" s="36" t="s">
        <x:v>2193</x:v>
      </x:c>
      <x:c r="G214" s="37" t="n">
        <x:v>3</x:v>
      </x:c>
    </x:row>
    <x:row r="215" ht="57.75" hidden="0" customHeight="1">
      <x:c r="B215" s="10" t="n">
        <x:v>46567.5</x:v>
      </x:c>
      <x:c r="C215" s="13" t="s">
        <x:v>2190</x:v>
      </x:c>
      <x:c r="D215" s="13" t="s">
        <x:v>2194</x:v>
      </x:c>
      <x:c r="E215" s="13" t="s">
        <x:v>2195</x:v>
      </x:c>
      <x:c r="F215" s="13" t="s">
        <x:v>1738</x:v>
      </x:c>
      <x:c r="G215" s="33" t="n">
        <x:v>3</x:v>
      </x:c>
    </x:row>
    <x:row r="216" ht="57.75" hidden="0" customHeight="1">
      <x:c r="B216" s="17" t="n">
        <x:v>46568.5</x:v>
      </x:c>
      <x:c r="C216" s="20" t="s">
        <x:v>2190</x:v>
      </x:c>
      <x:c r="D216" s="20" t="s">
        <x:v>2196</x:v>
      </x:c>
      <x:c r="E216" s="20" t="s">
        <x:v>2197</x:v>
      </x:c>
      <x:c r="F216" s="20" t="s">
        <x:v>2198</x:v>
      </x:c>
      <x:c r="G216" s="34" t="n">
        <x:v>3</x:v>
      </x:c>
    </x:row>
    <x:row r="217" ht="49.5" hidden="0" customHeight="1">
      <x:c r="B217" s="10" t="n">
        <x:v>46569.5</x:v>
      </x:c>
      <x:c r="C217" s="13" t="s">
        <x:v>2190</x:v>
      </x:c>
      <x:c r="D217" s="13" t="s">
        <x:v>2199</x:v>
      </x:c>
      <x:c r="E217" s="13" t="s">
        <x:v>2200</x:v>
      </x:c>
      <x:c r="F217" s="13" t="s">
        <x:v>1744</x:v>
      </x:c>
      <x:c r="G217" s="33" t="n">
        <x:v>3</x:v>
      </x:c>
    </x:row>
    <x:row r="218" ht="49.5" hidden="0" customHeight="1">
      <x:c r="B218" s="17" t="n">
        <x:v>46570.5</x:v>
      </x:c>
      <x:c r="C218" s="20" t="s">
        <x:v>2190</x:v>
      </x:c>
      <x:c r="D218" s="20" t="s">
        <x:v>2201</x:v>
      </x:c>
      <x:c r="E218" s="20" t="s">
        <x:v>1746</x:v>
      </x:c>
      <x:c r="F218" s="20" t="s">
        <x:v>2202</x:v>
      </x:c>
      <x:c r="G218" s="34" t="n">
        <x:v>3</x:v>
      </x:c>
    </x:row>
    <x:row r="219" ht="72" hidden="0" customHeight="1">
      <x:c r="B219" s="23" t="n">
        <x:v>46573.5</x:v>
      </x:c>
      <x:c r="C219" s="26" t="s">
        <x:v>2203</x:v>
      </x:c>
      <x:c r="D219" s="26" t="s">
        <x:v>413</x:v>
      </x:c>
      <x:c r="E219" s="26" t="s">
        <x:v>2204</x:v>
      </x:c>
      <x:c r="F219" s="26" t="s">
        <x:v>2205</x:v>
      </x:c>
      <x:c r="G219" s="38" t="n">
        <x:v>3</x:v>
      </x:c>
    </x:row>
    <x:row r="220" ht="72" hidden="0" customHeight="1">
      <x:c r="B220" s="17" t="n">
        <x:v>46574.5</x:v>
      </x:c>
      <x:c r="C220" s="20" t="s">
        <x:v>2203</x:v>
      </x:c>
      <x:c r="D220" s="20" t="s">
        <x:v>2206</x:v>
      </x:c>
      <x:c r="E220" s="20" t="s">
        <x:v>2207</x:v>
      </x:c>
      <x:c r="F220" s="20" t="s">
        <x:v>1738</x:v>
      </x:c>
      <x:c r="G220" s="34" t="n">
        <x:v>3</x:v>
      </x:c>
    </x:row>
    <x:row r="221" ht="49.5" hidden="0" customHeight="1">
      <x:c r="B221" s="10" t="n">
        <x:v>46575.5</x:v>
      </x:c>
      <x:c r="C221" s="13" t="s">
        <x:v>2203</x:v>
      </x:c>
      <x:c r="D221" s="13" t="s">
        <x:v>2208</x:v>
      </x:c>
      <x:c r="E221" s="13" t="s">
        <x:v>2209</x:v>
      </x:c>
      <x:c r="F221" s="13" t="s">
        <x:v>2210</x:v>
      </x:c>
      <x:c r="G221" s="33" t="n">
        <x:v>3</x:v>
      </x:c>
    </x:row>
    <x:row r="222" ht="49.5" hidden="0" customHeight="1">
      <x:c r="B222" s="17" t="n">
        <x:v>46576.5</x:v>
      </x:c>
      <x:c r="C222" s="20" t="s">
        <x:v>2203</x:v>
      </x:c>
      <x:c r="D222" s="20" t="s">
        <x:v>2063</x:v>
      </x:c>
      <x:c r="E222" s="20" t="s">
        <x:v>2211</x:v>
      </x:c>
      <x:c r="F222" s="20" t="s">
        <x:v>1744</x:v>
      </x:c>
      <x:c r="G222" s="34" t="n">
        <x:v>3</x:v>
      </x:c>
    </x:row>
    <x:row r="223" ht="49.5" hidden="0" customHeight="1">
      <x:c r="B223" s="10" t="n">
        <x:v>46577.5</x:v>
      </x:c>
      <x:c r="C223" s="13" t="s">
        <x:v>2203</x:v>
      </x:c>
      <x:c r="D223" s="13" t="s">
        <x:v>2212</x:v>
      </x:c>
      <x:c r="E223" s="13" t="s">
        <x:v>1746</x:v>
      </x:c>
      <x:c r="F223" s="13" t="s">
        <x:v>2213</x:v>
      </x:c>
      <x:c r="G223" s="33" t="n">
        <x:v>3</x:v>
      </x:c>
    </x:row>
    <x:row r="224" ht="72" hidden="0" customHeight="1">
      <x:c r="B224" s="35" t="n">
        <x:v>46580.5</x:v>
      </x:c>
      <x:c r="C224" s="36" t="s">
        <x:v>2214</x:v>
      </x:c>
      <x:c r="D224" s="36" t="s">
        <x:v>2215</x:v>
      </x:c>
      <x:c r="E224" s="36" t="s">
        <x:v>2216</x:v>
      </x:c>
      <x:c r="F224" s="36" t="s">
        <x:v>2217</x:v>
      </x:c>
      <x:c r="G224" s="37" t="n">
        <x:v>3</x:v>
      </x:c>
    </x:row>
    <x:row r="225" ht="72" hidden="0" customHeight="1">
      <x:c r="B225" s="10" t="n">
        <x:v>46581.5</x:v>
      </x:c>
      <x:c r="C225" s="13" t="s">
        <x:v>2214</x:v>
      </x:c>
      <x:c r="D225" s="13" t="s">
        <x:v>2218</x:v>
      </x:c>
      <x:c r="E225" s="13" t="s">
        <x:v>2219</x:v>
      </x:c>
      <x:c r="F225" s="13" t="s">
        <x:v>1738</x:v>
      </x:c>
      <x:c r="G225" s="33" t="n">
        <x:v>3</x:v>
      </x:c>
    </x:row>
    <x:row r="226" ht="49.5" hidden="0" customHeight="1">
      <x:c r="B226" s="17" t="n">
        <x:v>46582.5</x:v>
      </x:c>
      <x:c r="C226" s="20" t="s">
        <x:v>2214</x:v>
      </x:c>
      <x:c r="D226" s="20" t="s">
        <x:v>2220</x:v>
      </x:c>
      <x:c r="E226" s="20" t="s">
        <x:v>2221</x:v>
      </x:c>
      <x:c r="F226" s="20" t="s">
        <x:v>2222</x:v>
      </x:c>
      <x:c r="G226" s="34" t="n">
        <x:v>3</x:v>
      </x:c>
    </x:row>
    <x:row r="227" ht="49.5" hidden="0" customHeight="1">
      <x:c r="B227" s="10" t="n">
        <x:v>46583.5</x:v>
      </x:c>
      <x:c r="C227" s="13" t="s">
        <x:v>2214</x:v>
      </x:c>
      <x:c r="D227" s="13" t="s">
        <x:v>2223</x:v>
      </x:c>
      <x:c r="E227" s="13" t="s">
        <x:v>2224</x:v>
      </x:c>
      <x:c r="F227" s="13" t="s">
        <x:v>1744</x:v>
      </x:c>
      <x:c r="G227" s="33" t="n">
        <x:v>3</x:v>
      </x:c>
    </x:row>
    <x:row r="228" ht="49.5" hidden="0" customHeight="1">
      <x:c r="B228" s="17" t="n">
        <x:v>46584.5</x:v>
      </x:c>
      <x:c r="C228" s="20" t="s">
        <x:v>2214</x:v>
      </x:c>
      <x:c r="D228" s="20" t="s">
        <x:v>2225</x:v>
      </x:c>
      <x:c r="E228" s="20" t="s">
        <x:v>1746</x:v>
      </x:c>
      <x:c r="F228" s="20" t="s">
        <x:v>2226</x:v>
      </x:c>
      <x:c r="G228" s="34" t="n">
        <x:v>3</x:v>
      </x:c>
    </x:row>
    <x:row r="229" ht="72" hidden="0" customHeight="1">
      <x:c r="B229" s="23" t="n">
        <x:v>46587.5</x:v>
      </x:c>
      <x:c r="C229" s="26" t="s">
        <x:v>2227</x:v>
      </x:c>
      <x:c r="D229" s="26" t="s">
        <x:v>430</x:v>
      </x:c>
      <x:c r="E229" s="26" t="s">
        <x:v>2228</x:v>
      </x:c>
      <x:c r="F229" s="26" t="s">
        <x:v>2229</x:v>
      </x:c>
      <x:c r="G229" s="38" t="n">
        <x:v>3</x:v>
      </x:c>
    </x:row>
    <x:row r="230" ht="72" hidden="0" customHeight="1">
      <x:c r="B230" s="17" t="n">
        <x:v>46588.5</x:v>
      </x:c>
      <x:c r="C230" s="20" t="s">
        <x:v>2227</x:v>
      </x:c>
      <x:c r="D230" s="20" t="s">
        <x:v>2230</x:v>
      </x:c>
      <x:c r="E230" s="20" t="s">
        <x:v>2231</x:v>
      </x:c>
      <x:c r="F230" s="20" t="s">
        <x:v>1738</x:v>
      </x:c>
      <x:c r="G230" s="34" t="n">
        <x:v>3</x:v>
      </x:c>
    </x:row>
    <x:row r="231" ht="49.5" hidden="0" customHeight="1">
      <x:c r="B231" s="10" t="n">
        <x:v>46589.5</x:v>
      </x:c>
      <x:c r="C231" s="13" t="s">
        <x:v>2227</x:v>
      </x:c>
      <x:c r="D231" s="13" t="s">
        <x:v>2232</x:v>
      </x:c>
      <x:c r="E231" s="13" t="s">
        <x:v>2233</x:v>
      </x:c>
      <x:c r="F231" s="13" t="s">
        <x:v>2234</x:v>
      </x:c>
      <x:c r="G231" s="33" t="n">
        <x:v>3</x:v>
      </x:c>
    </x:row>
    <x:row r="232" ht="49.5" hidden="0" customHeight="1">
      <x:c r="B232" s="17" t="n">
        <x:v>46590.5</x:v>
      </x:c>
      <x:c r="C232" s="20" t="s">
        <x:v>2227</x:v>
      </x:c>
      <x:c r="D232" s="20" t="s">
        <x:v>2235</x:v>
      </x:c>
      <x:c r="E232" s="20" t="s">
        <x:v>2236</x:v>
      </x:c>
      <x:c r="F232" s="20" t="s">
        <x:v>1744</x:v>
      </x:c>
      <x:c r="G232" s="34" t="n">
        <x:v>3</x:v>
      </x:c>
    </x:row>
    <x:row r="233" ht="49.5" hidden="0" customHeight="1">
      <x:c r="B233" s="10" t="n">
        <x:v>46591.5</x:v>
      </x:c>
      <x:c r="C233" s="13" t="s">
        <x:v>2227</x:v>
      </x:c>
      <x:c r="D233" s="13" t="s">
        <x:v>2237</x:v>
      </x:c>
      <x:c r="E233" s="13" t="s">
        <x:v>1746</x:v>
      </x:c>
      <x:c r="F233" s="13" t="s">
        <x:v>2238</x:v>
      </x:c>
      <x:c r="G233" s="33" t="n">
        <x:v>3</x:v>
      </x:c>
    </x:row>
    <x:row r="234" ht="72" hidden="0" customHeight="1">
      <x:c r="B234" s="35" t="n">
        <x:v>46594.5</x:v>
      </x:c>
      <x:c r="C234" s="36" t="s">
        <x:v>2239</x:v>
      </x:c>
      <x:c r="D234" s="36" t="s">
        <x:v>2240</x:v>
      </x:c>
      <x:c r="E234" s="36" t="s">
        <x:v>2241</x:v>
      </x:c>
      <x:c r="F234" s="36" t="s">
        <x:v>2242</x:v>
      </x:c>
      <x:c r="G234" s="37" t="n">
        <x:v>3</x:v>
      </x:c>
    </x:row>
    <x:row r="235" ht="57.75" hidden="0" customHeight="1">
      <x:c r="B235" s="10" t="n">
        <x:v>46595.5</x:v>
      </x:c>
      <x:c r="C235" s="13" t="s">
        <x:v>2239</x:v>
      </x:c>
      <x:c r="D235" s="13" t="s">
        <x:v>2243</x:v>
      </x:c>
      <x:c r="E235" s="13" t="s">
        <x:v>2244</x:v>
      </x:c>
      <x:c r="F235" s="13" t="s">
        <x:v>1738</x:v>
      </x:c>
      <x:c r="G235" s="33" t="n">
        <x:v>3</x:v>
      </x:c>
    </x:row>
    <x:row r="236" ht="49.5" hidden="0" customHeight="1">
      <x:c r="B236" s="17" t="n">
        <x:v>46596.5</x:v>
      </x:c>
      <x:c r="C236" s="20" t="s">
        <x:v>2239</x:v>
      </x:c>
      <x:c r="D236" s="20" t="s">
        <x:v>2245</x:v>
      </x:c>
      <x:c r="E236" s="20" t="s">
        <x:v>2246</x:v>
      </x:c>
      <x:c r="F236" s="20" t="s">
        <x:v>2247</x:v>
      </x:c>
      <x:c r="G236" s="34" t="n">
        <x:v>3</x:v>
      </x:c>
    </x:row>
    <x:row r="237" ht="49.5" hidden="0" customHeight="1">
      <x:c r="B237" s="10" t="n">
        <x:v>46597.5</x:v>
      </x:c>
      <x:c r="C237" s="13" t="s">
        <x:v>2239</x:v>
      </x:c>
      <x:c r="D237" s="13" t="s">
        <x:v>2248</x:v>
      </x:c>
      <x:c r="E237" s="13" t="s">
        <x:v>2249</x:v>
      </x:c>
      <x:c r="F237" s="13" t="s">
        <x:v>1744</x:v>
      </x:c>
      <x:c r="G237" s="33" t="n">
        <x:v>3</x:v>
      </x:c>
    </x:row>
    <x:row r="238" ht="49.5" hidden="0" customHeight="1">
      <x:c r="B238" s="17" t="n">
        <x:v>46598.5</x:v>
      </x:c>
      <x:c r="C238" s="20" t="s">
        <x:v>2239</x:v>
      </x:c>
      <x:c r="D238" s="20" t="s">
        <x:v>2250</x:v>
      </x:c>
      <x:c r="E238" s="20" t="s">
        <x:v>1746</x:v>
      </x:c>
      <x:c r="F238" s="20" t="s">
        <x:v>2251</x:v>
      </x:c>
      <x:c r="G238" s="34" t="n">
        <x:v>3</x:v>
      </x:c>
    </x:row>
    <x:row r="239" ht="72" hidden="0" customHeight="1">
      <x:c r="B239" s="23" t="n">
        <x:v>46601.5</x:v>
      </x:c>
      <x:c r="C239" s="26" t="s">
        <x:v>2252</x:v>
      </x:c>
      <x:c r="D239" s="26" t="s">
        <x:v>446</x:v>
      </x:c>
      <x:c r="E239" s="26" t="s">
        <x:v>2253</x:v>
      </x:c>
      <x:c r="F239" s="26" t="s">
        <x:v>2254</x:v>
      </x:c>
      <x:c r="G239" s="38" t="n">
        <x:v>3</x:v>
      </x:c>
    </x:row>
    <x:row r="240" ht="57.75" hidden="0" customHeight="1">
      <x:c r="B240" s="17" t="n">
        <x:v>46602.5</x:v>
      </x:c>
      <x:c r="C240" s="20" t="s">
        <x:v>2252</x:v>
      </x:c>
      <x:c r="D240" s="20" t="s">
        <x:v>2255</x:v>
      </x:c>
      <x:c r="E240" s="20" t="s">
        <x:v>2256</x:v>
      </x:c>
      <x:c r="F240" s="20" t="s">
        <x:v>1738</x:v>
      </x:c>
      <x:c r="G240" s="34" t="n">
        <x:v>3</x:v>
      </x:c>
    </x:row>
    <x:row r="241" ht="49.5" hidden="0" customHeight="1">
      <x:c r="B241" s="10" t="n">
        <x:v>46603.5</x:v>
      </x:c>
      <x:c r="C241" s="13" t="s">
        <x:v>2252</x:v>
      </x:c>
      <x:c r="D241" s="13" t="s">
        <x:v>2257</x:v>
      </x:c>
      <x:c r="E241" s="13" t="s">
        <x:v>2258</x:v>
      </x:c>
      <x:c r="F241" s="13" t="s">
        <x:v>2259</x:v>
      </x:c>
      <x:c r="G241" s="33" t="n">
        <x:v>3</x:v>
      </x:c>
    </x:row>
    <x:row r="242" ht="49.5" hidden="0" customHeight="1">
      <x:c r="B242" s="17" t="n">
        <x:v>46604.5</x:v>
      </x:c>
      <x:c r="C242" s="20" t="s">
        <x:v>2252</x:v>
      </x:c>
      <x:c r="D242" s="20" t="s">
        <x:v>2260</x:v>
      </x:c>
      <x:c r="E242" s="20" t="s">
        <x:v>2261</x:v>
      </x:c>
      <x:c r="F242" s="20" t="s">
        <x:v>1744</x:v>
      </x:c>
      <x:c r="G242" s="34" t="n">
        <x:v>3</x:v>
      </x:c>
    </x:row>
    <x:row r="243" ht="49.5" hidden="0" customHeight="1">
      <x:c r="B243" s="10" t="n">
        <x:v>46605.5</x:v>
      </x:c>
      <x:c r="C243" s="13" t="s">
        <x:v>2252</x:v>
      </x:c>
      <x:c r="D243" s="13" t="s">
        <x:v>2262</x:v>
      </x:c>
      <x:c r="E243" s="13" t="s">
        <x:v>1746</x:v>
      </x:c>
      <x:c r="F243" s="13" t="s">
        <x:v>2263</x:v>
      </x:c>
      <x:c r="G243" s="33" t="n">
        <x:v>3</x:v>
      </x:c>
    </x:row>
    <x:row r="244" ht="72" hidden="0" customHeight="1">
      <x:c r="B244" s="35" t="n">
        <x:v>46608.5</x:v>
      </x:c>
      <x:c r="C244" s="36" t="s">
        <x:v>2264</x:v>
      </x:c>
      <x:c r="D244" s="36" t="s">
        <x:v>454</x:v>
      </x:c>
      <x:c r="E244" s="36" t="s">
        <x:v>2265</x:v>
      </x:c>
      <x:c r="F244" s="36" t="s">
        <x:v>2266</x:v>
      </x:c>
      <x:c r="G244" s="37" t="n">
        <x:v>3</x:v>
      </x:c>
    </x:row>
    <x:row r="245" ht="72" hidden="0" customHeight="1">
      <x:c r="B245" s="10" t="n">
        <x:v>46609.5</x:v>
      </x:c>
      <x:c r="C245" s="13" t="s">
        <x:v>2264</x:v>
      </x:c>
      <x:c r="D245" s="13" t="s">
        <x:v>2267</x:v>
      </x:c>
      <x:c r="E245" s="13" t="s">
        <x:v>2268</x:v>
      </x:c>
      <x:c r="F245" s="13" t="s">
        <x:v>1738</x:v>
      </x:c>
      <x:c r="G245" s="33" t="n">
        <x:v>3</x:v>
      </x:c>
    </x:row>
    <x:row r="246" ht="49.5" hidden="0" customHeight="1">
      <x:c r="B246" s="17" t="n">
        <x:v>46610.5</x:v>
      </x:c>
      <x:c r="C246" s="20" t="s">
        <x:v>2264</x:v>
      </x:c>
      <x:c r="D246" s="20" t="s">
        <x:v>2269</x:v>
      </x:c>
      <x:c r="E246" s="20" t="s">
        <x:v>2270</x:v>
      </x:c>
      <x:c r="F246" s="20" t="s">
        <x:v>2271</x:v>
      </x:c>
      <x:c r="G246" s="34" t="n">
        <x:v>3</x:v>
      </x:c>
    </x:row>
    <x:row r="247" ht="49.5" hidden="0" customHeight="1">
      <x:c r="B247" s="10" t="n">
        <x:v>46611.5</x:v>
      </x:c>
      <x:c r="C247" s="13" t="s">
        <x:v>2264</x:v>
      </x:c>
      <x:c r="D247" s="13" t="s">
        <x:v>2272</x:v>
      </x:c>
      <x:c r="E247" s="13" t="s">
        <x:v>2273</x:v>
      </x:c>
      <x:c r="F247" s="13" t="s">
        <x:v>1744</x:v>
      </x:c>
      <x:c r="G247" s="33" t="n">
        <x:v>3</x:v>
      </x:c>
    </x:row>
    <x:row r="248" ht="49.5" hidden="0" customHeight="1">
      <x:c r="B248" s="17" t="n">
        <x:v>46612.5</x:v>
      </x:c>
      <x:c r="C248" s="20" t="s">
        <x:v>2264</x:v>
      </x:c>
      <x:c r="D248" s="20" t="s">
        <x:v>2274</x:v>
      </x:c>
      <x:c r="E248" s="20" t="s">
        <x:v>1746</x:v>
      </x:c>
      <x:c r="F248" s="20" t="s">
        <x:v>2275</x:v>
      </x:c>
      <x:c r="G248" s="34" t="n">
        <x:v>3</x:v>
      </x:c>
    </x:row>
    <x:row r="249" ht="72" hidden="0" customHeight="1">
      <x:c r="B249" s="23" t="n">
        <x:v>46615.5</x:v>
      </x:c>
      <x:c r="C249" s="26" t="s">
        <x:v>2276</x:v>
      </x:c>
      <x:c r="D249" s="26" t="s">
        <x:v>2277</x:v>
      </x:c>
      <x:c r="E249" s="26" t="s">
        <x:v>2278</x:v>
      </x:c>
      <x:c r="F249" s="26" t="s">
        <x:v>2279</x:v>
      </x:c>
      <x:c r="G249" s="38" t="n">
        <x:v>3</x:v>
      </x:c>
    </x:row>
    <x:row r="250" ht="57.75" hidden="0" customHeight="1">
      <x:c r="B250" s="17" t="n">
        <x:v>46616.5</x:v>
      </x:c>
      <x:c r="C250" s="20" t="s">
        <x:v>2276</x:v>
      </x:c>
      <x:c r="D250" s="20" t="s">
        <x:v>2280</x:v>
      </x:c>
      <x:c r="E250" s="20" t="s">
        <x:v>2281</x:v>
      </x:c>
      <x:c r="F250" s="20" t="s">
        <x:v>1738</x:v>
      </x:c>
      <x:c r="G250" s="34" t="n">
        <x:v>3</x:v>
      </x:c>
    </x:row>
    <x:row r="251" ht="49.5" hidden="0" customHeight="1">
      <x:c r="B251" s="10" t="n">
        <x:v>46617.5</x:v>
      </x:c>
      <x:c r="C251" s="13" t="s">
        <x:v>2276</x:v>
      </x:c>
      <x:c r="D251" s="13" t="s">
        <x:v>2282</x:v>
      </x:c>
      <x:c r="E251" s="13" t="s">
        <x:v>2283</x:v>
      </x:c>
      <x:c r="F251" s="13" t="s">
        <x:v>2284</x:v>
      </x:c>
      <x:c r="G251" s="33" t="n">
        <x:v>3</x:v>
      </x:c>
    </x:row>
    <x:row r="252" ht="49.5" hidden="0" customHeight="1">
      <x:c r="B252" s="17" t="n">
        <x:v>46618.5</x:v>
      </x:c>
      <x:c r="C252" s="20" t="s">
        <x:v>2276</x:v>
      </x:c>
      <x:c r="D252" s="20" t="s">
        <x:v>2285</x:v>
      </x:c>
      <x:c r="E252" s="20" t="s">
        <x:v>2286</x:v>
      </x:c>
      <x:c r="F252" s="20" t="s">
        <x:v>1744</x:v>
      </x:c>
      <x:c r="G252" s="34" t="n">
        <x:v>3</x:v>
      </x:c>
    </x:row>
    <x:row r="253" ht="49.5" hidden="0" customHeight="1">
      <x:c r="B253" s="10" t="n">
        <x:v>46619.5</x:v>
      </x:c>
      <x:c r="C253" s="13" t="s">
        <x:v>2276</x:v>
      </x:c>
      <x:c r="D253" s="13" t="s">
        <x:v>2287</x:v>
      </x:c>
      <x:c r="E253" s="13" t="s">
        <x:v>1746</x:v>
      </x:c>
      <x:c r="F253" s="13" t="s">
        <x:v>2288</x:v>
      </x:c>
      <x:c r="G253" s="33" t="n">
        <x:v>3</x:v>
      </x:c>
    </x:row>
    <x:row r="254" ht="72" hidden="0" customHeight="1">
      <x:c r="B254" s="35" t="n">
        <x:v>46622.5</x:v>
      </x:c>
      <x:c r="C254" s="36" t="s">
        <x:v>2289</x:v>
      </x:c>
      <x:c r="D254" s="36" t="s">
        <x:v>2290</x:v>
      </x:c>
      <x:c r="E254" s="36" t="s">
        <x:v>2291</x:v>
      </x:c>
      <x:c r="F254" s="36" t="s">
        <x:v>2292</x:v>
      </x:c>
      <x:c r="G254" s="37" t="n">
        <x:v>3</x:v>
      </x:c>
    </x:row>
    <x:row r="255" ht="72" hidden="0" customHeight="1">
      <x:c r="B255" s="10" t="n">
        <x:v>46623.5</x:v>
      </x:c>
      <x:c r="C255" s="13" t="s">
        <x:v>2289</x:v>
      </x:c>
      <x:c r="D255" s="13" t="s">
        <x:v>2293</x:v>
      </x:c>
      <x:c r="E255" s="13" t="s">
        <x:v>2294</x:v>
      </x:c>
      <x:c r="F255" s="13" t="s">
        <x:v>1738</x:v>
      </x:c>
      <x:c r="G255" s="33" t="n">
        <x:v>3</x:v>
      </x:c>
    </x:row>
    <x:row r="256" ht="57.75" hidden="0" customHeight="1">
      <x:c r="B256" s="17" t="n">
        <x:v>46624.5</x:v>
      </x:c>
      <x:c r="C256" s="20" t="s">
        <x:v>2289</x:v>
      </x:c>
      <x:c r="D256" s="20" t="s">
        <x:v>2295</x:v>
      </x:c>
      <x:c r="E256" s="20" t="s">
        <x:v>2296</x:v>
      </x:c>
      <x:c r="F256" s="20" t="s">
        <x:v>2297</x:v>
      </x:c>
      <x:c r="G256" s="34" t="n">
        <x:v>3</x:v>
      </x:c>
    </x:row>
    <x:row r="257" ht="57.75" hidden="0" customHeight="1">
      <x:c r="B257" s="10" t="n">
        <x:v>46625.5</x:v>
      </x:c>
      <x:c r="C257" s="13" t="s">
        <x:v>2289</x:v>
      </x:c>
      <x:c r="D257" s="13" t="s">
        <x:v>2298</x:v>
      </x:c>
      <x:c r="E257" s="13" t="s">
        <x:v>2299</x:v>
      </x:c>
      <x:c r="F257" s="13" t="s">
        <x:v>1744</x:v>
      </x:c>
      <x:c r="G257" s="33" t="n">
        <x:v>3</x:v>
      </x:c>
    </x:row>
    <x:row r="258" ht="57.75" hidden="0" customHeight="1">
      <x:c r="B258" s="17" t="n">
        <x:v>46626.5</x:v>
      </x:c>
      <x:c r="C258" s="20" t="s">
        <x:v>2289</x:v>
      </x:c>
      <x:c r="D258" s="20" t="s">
        <x:v>2300</x:v>
      </x:c>
      <x:c r="E258" s="20" t="s">
        <x:v>1746</x:v>
      </x:c>
      <x:c r="F258" s="20" t="s">
        <x:v>2301</x:v>
      </x:c>
      <x:c r="G258" s="34" t="n">
        <x:v>3</x:v>
      </x:c>
    </x:row>
    <x:row r="259" ht="72" hidden="0" customHeight="1">
      <x:c r="B259" s="23" t="n">
        <x:v>46629.5</x:v>
      </x:c>
      <x:c r="C259" s="26" t="s">
        <x:v>2302</x:v>
      </x:c>
      <x:c r="D259" s="26" t="s">
        <x:v>479</x:v>
      </x:c>
      <x:c r="E259" s="26" t="s">
        <x:v>2303</x:v>
      </x:c>
      <x:c r="F259" s="26" t="s">
        <x:v>2304</x:v>
      </x:c>
      <x:c r="G259" s="38" t="n">
        <x:v>3</x:v>
      </x:c>
    </x:row>
    <x:row r="260" ht="72" hidden="0" customHeight="1">
      <x:c r="B260" s="17" t="n">
        <x:v>46630.5</x:v>
      </x:c>
      <x:c r="C260" s="20" t="s">
        <x:v>2302</x:v>
      </x:c>
      <x:c r="D260" s="20" t="s">
        <x:v>2305</x:v>
      </x:c>
      <x:c r="E260" s="20" t="s">
        <x:v>2306</x:v>
      </x:c>
      <x:c r="F260" s="20" t="s">
        <x:v>1738</x:v>
      </x:c>
      <x:c r="G260" s="34" t="n">
        <x:v>3</x:v>
      </x:c>
    </x:row>
    <x:row r="261" ht="57.75" hidden="0" customHeight="1">
      <x:c r="B261" s="10" t="n">
        <x:v>46631.5</x:v>
      </x:c>
      <x:c r="C261" s="13" t="s">
        <x:v>2302</x:v>
      </x:c>
      <x:c r="D261" s="13" t="s">
        <x:v>2307</x:v>
      </x:c>
      <x:c r="E261" s="13" t="s">
        <x:v>2308</x:v>
      </x:c>
      <x:c r="F261" s="13" t="s">
        <x:v>2309</x:v>
      </x:c>
      <x:c r="G261" s="33" t="n">
        <x:v>3</x:v>
      </x:c>
    </x:row>
    <x:row r="262" ht="49.5" hidden="0" customHeight="1">
      <x:c r="B262" s="17" t="n">
        <x:v>46632.5</x:v>
      </x:c>
      <x:c r="C262" s="20" t="s">
        <x:v>2302</x:v>
      </x:c>
      <x:c r="D262" s="20" t="s">
        <x:v>2310</x:v>
      </x:c>
      <x:c r="E262" s="20" t="s">
        <x:v>2311</x:v>
      </x:c>
      <x:c r="F262" s="20" t="s">
        <x:v>1744</x:v>
      </x:c>
      <x:c r="G262" s="34" t="n">
        <x:v>3</x:v>
      </x:c>
    </x:row>
    <x:row r="263" ht="49.5" hidden="0" customHeight="1">
      <x:c r="B263" s="10" t="n">
        <x:v>46633.5</x:v>
      </x:c>
      <x:c r="C263" s="13" t="s">
        <x:v>2302</x:v>
      </x:c>
      <x:c r="D263" s="13" t="s">
        <x:v>2312</x:v>
      </x:c>
      <x:c r="E263" s="13" t="s">
        <x:v>1746</x:v>
      </x:c>
      <x:c r="F263" s="13" t="s">
        <x:v>2313</x:v>
      </x:c>
      <x:c r="G263" s="33" t="n">
        <x:v>3</x:v>
      </x:c>
    </x:row>
    <x:row r="264" ht="72" hidden="0" customHeight="1">
      <x:c r="B264" s="35" t="n">
        <x:v>46636.5</x:v>
      </x:c>
      <x:c r="C264" s="36" t="s">
        <x:v>2314</x:v>
      </x:c>
      <x:c r="D264" s="36" t="s">
        <x:v>487</x:v>
      </x:c>
      <x:c r="E264" s="36" t="s">
        <x:v>2315</x:v>
      </x:c>
      <x:c r="F264" s="36" t="s">
        <x:v>2316</x:v>
      </x:c>
      <x:c r="G264" s="37" t="n">
        <x:v>3</x:v>
      </x:c>
    </x:row>
    <x:row r="265" ht="72" hidden="0" customHeight="1">
      <x:c r="B265" s="10" t="n">
        <x:v>46637.5</x:v>
      </x:c>
      <x:c r="C265" s="13" t="s">
        <x:v>2314</x:v>
      </x:c>
      <x:c r="D265" s="13" t="s">
        <x:v>2317</x:v>
      </x:c>
      <x:c r="E265" s="13" t="s">
        <x:v>2318</x:v>
      </x:c>
      <x:c r="F265" s="13" t="s">
        <x:v>1738</x:v>
      </x:c>
      <x:c r="G265" s="33" t="n">
        <x:v>3</x:v>
      </x:c>
    </x:row>
    <x:row r="266" ht="49.5" hidden="0" customHeight="1">
      <x:c r="B266" s="17" t="n">
        <x:v>46638.5</x:v>
      </x:c>
      <x:c r="C266" s="20" t="s">
        <x:v>2314</x:v>
      </x:c>
      <x:c r="D266" s="20" t="s">
        <x:v>2319</x:v>
      </x:c>
      <x:c r="E266" s="20" t="s">
        <x:v>2320</x:v>
      </x:c>
      <x:c r="F266" s="20" t="s">
        <x:v>2321</x:v>
      </x:c>
      <x:c r="G266" s="34" t="n">
        <x:v>3</x:v>
      </x:c>
    </x:row>
    <x:row r="268" ht="15" hidden="0">
      <x:c r="B268" t="s">
        <x:v>2322</x:v>
      </x:c>
    </x:row>
  </x:sheetData>
  <x:pageMargins left="0.7" right="0.7" top="0.75" bottom="0.75" header="0.3" footer="0.3"/>
  <x:tableParts count="1">
    <x:tablePart xmlns:r="http://schemas.openxmlformats.org/officeDocument/2006/relationships" r:id="R07e5147c62054d7d"/>
  </x:tableParts>
</x:worksheet>
</file>

<file path=xl/worksheets/sheet4.xml><?xml version="1.0" encoding="utf-8"?>
<x:worksheet xmlns:x="http://schemas.openxmlformats.org/spreadsheetml/2006/main">
  <x:sheetPr>
    <x:tabColor rgb="FFE5E7EB"/>
  </x:sheetPr>
  <x:sheetViews>
    <x:sheetView showGridLines="0" workbookViewId="0">
      <x:pane xSplit="2" ySplit="8" topLeftCell="C9" activePane="bottomRight" state="frozen"/>
    </x:sheetView>
  </x:sheetViews>
  <x:sheetFormatPr defaultColWidth="8.6796875" defaultRowHeight="15"/>
  <x:cols>
    <x:col min="1" max="1" width="2.890000104904175" hidden="0" customWidth="1"/>
    <x:col min="2" max="2" width="27.780000686645508" hidden="0" customWidth="1"/>
    <x:col min="3" max="3" width="95.55999755859375" hidden="0" customWidth="1"/>
    <x:col min="4" max="4" width="2.890000104904175" hidden="0" customWidth="1"/>
  </x:cols>
  <x:sheetData>
    <x:row r="1" ht="15" hidden="0" customHeight="1">
      <x:c r="A1" s="1"/>
      <x:c r="B1" s="1"/>
      <x:c r="C1" s="1"/>
      <x:c r="D1" s="1"/>
    </x:row>
    <x:row r="2" ht="24.75" hidden="0" customHeight="1">
      <x:c r="A2" s="1"/>
      <x:c r="B2" s="2" t="s">
        <x:v>2323</x:v>
      </x:c>
      <x:c r="C2" s="1"/>
      <x:c r="D2" s="1"/>
    </x:row>
    <x:row r="3" ht="19.5" hidden="0" customHeight="1">
      <x:c r="A3" s="1"/>
      <x:c r="B3" s="3" t="s">
        <x:v>2324</x:v>
      </x:c>
      <x:c r="C3" s="1"/>
      <x:c r="D3" s="1"/>
    </x:row>
    <x:row r="4" ht="15" hidden="0">
      <x:c r="A4" s="1"/>
      <x:c r="B4" s="4"/>
      <x:c r="C4" s="4"/>
      <x:c r="D4" s="1"/>
    </x:row>
    <x:row r="5" ht="15" hidden="0">
      <x:c r="A5" s="1"/>
      <x:c r="B5" s="1"/>
      <x:c r="C5" s="1"/>
      <x:c r="D5" s="1"/>
    </x:row>
    <x:row r="6" ht="15" hidden="0">
      <x:c r="A6" s="1"/>
      <x:c r="B6" s="1" t="s">
        <x:v>2325</x:v>
      </x:c>
      <x:c r="C6" s="1"/>
      <x:c r="D6" s="1"/>
    </x:row>
    <x:row r="7" ht="15" hidden="0">
      <x:c r="A7" s="1"/>
      <x:c r="B7" s="1"/>
      <x:c r="C7" s="1"/>
      <x:c r="D7" s="1"/>
    </x:row>
    <x:row r="8" ht="30" hidden="0" customHeight="1">
      <x:c r="A8" s="1"/>
      <x:c r="B8" s="6" t="s">
        <x:v>2326</x:v>
      </x:c>
      <x:c r="C8" s="8" t="s">
        <x:v>2327</x:v>
      </x:c>
      <x:c r="D8" s="1"/>
    </x:row>
    <x:row r="9" ht="43.5" hidden="0" customHeight="1">
      <x:c r="A9" s="1"/>
      <x:c r="B9" s="13" t="s">
        <x:v>2328</x:v>
      </x:c>
      <x:c r="C9" s="13" t="s">
        <x:v>2329</x:v>
      </x:c>
      <x:c r="D9" s="1"/>
    </x:row>
    <x:row r="10" ht="43.5" hidden="0" customHeight="1">
      <x:c r="A10" s="1"/>
      <x:c r="B10" s="20" t="s">
        <x:v>2330</x:v>
      </x:c>
      <x:c r="C10" s="20" t="s">
        <x:v>2331</x:v>
      </x:c>
      <x:c r="D10" s="1"/>
    </x:row>
    <x:row r="11" ht="43.5" hidden="0" customHeight="1">
      <x:c r="A11" s="1"/>
      <x:c r="B11" s="13" t="s">
        <x:v>2332</x:v>
      </x:c>
      <x:c r="C11" s="13" t="s">
        <x:v>2333</x:v>
      </x:c>
      <x:c r="D11" s="1"/>
    </x:row>
    <x:row r="12" ht="33" hidden="0" customHeight="1">
      <x:c r="A12" s="1"/>
      <x:c r="B12" s="20" t="s">
        <x:v>2334</x:v>
      </x:c>
      <x:c r="C12" s="20" t="s">
        <x:v>2335</x:v>
      </x:c>
      <x:c r="D12" s="1"/>
    </x:row>
    <x:row r="13" ht="33" hidden="0" customHeight="1">
      <x:c r="A13" s="1"/>
      <x:c r="B13" s="13" t="s">
        <x:v>2336</x:v>
      </x:c>
      <x:c r="C13" s="13" t="s">
        <x:v>2337</x:v>
      </x:c>
      <x:c r="D13" s="1"/>
    </x:row>
    <x:row r="14" ht="33" hidden="0" customHeight="1">
      <x:c r="A14" s="1"/>
      <x:c r="B14" s="20" t="s">
        <x:v>2338</x:v>
      </x:c>
      <x:c r="C14" s="20" t="s">
        <x:v>2339</x:v>
      </x:c>
      <x:c r="D14" s="1"/>
    </x:row>
    <x:row r="15" ht="33" hidden="0" customHeight="1">
      <x:c r="A15" s="1"/>
      <x:c r="B15" s="13" t="s">
        <x:v>2340</x:v>
      </x:c>
      <x:c r="C15" s="13" t="s">
        <x:v>2341</x:v>
      </x:c>
      <x:c r="D15" s="1"/>
    </x:row>
    <x:row r="16" ht="33" hidden="0" customHeight="1">
      <x:c r="A16" s="1"/>
      <x:c r="B16" s="20" t="s">
        <x:v>2342</x:v>
      </x:c>
      <x:c r="C16" s="20" t="s">
        <x:v>2343</x:v>
      </x:c>
      <x:c r="D16" s="1"/>
    </x:row>
    <x:row r="17" ht="33" hidden="0" customHeight="1">
      <x:c r="A17" s="1"/>
      <x:c r="B17" s="13" t="s">
        <x:v>2344</x:v>
      </x:c>
      <x:c r="C17" s="13" t="s">
        <x:v>2345</x:v>
      </x:c>
      <x:c r="D17" s="1"/>
    </x:row>
    <x:row r="18" ht="57.75" hidden="0" customHeight="1">
      <x:c r="A18" s="1"/>
      <x:c r="B18" s="20" t="s">
        <x:v>2346</x:v>
      </x:c>
      <x:c r="C18" s="20" t="s">
        <x:v>2347</x:v>
      </x:c>
      <x:c r="D18" s="1"/>
    </x:row>
    <x:row r="19" ht="43.5" hidden="0" customHeight="1">
      <x:c r="A19" s="1"/>
      <x:c r="B19" s="13" t="s">
        <x:v>2348</x:v>
      </x:c>
      <x:c r="C19" s="13" t="s">
        <x:v>2349</x:v>
      </x:c>
      <x:c r="D19" s="1"/>
    </x:row>
    <x:row r="20" ht="43.5" hidden="0" customHeight="1">
      <x:c r="A20" s="1"/>
      <x:c r="B20" s="20" t="s">
        <x:v>2350</x:v>
      </x:c>
      <x:c r="C20" s="20" t="s">
        <x:v>2351</x:v>
      </x:c>
      <x:c r="D20" s="1"/>
    </x:row>
    <x:row r="21" ht="33" hidden="0" customHeight="1">
      <x:c r="A21" s="1"/>
      <x:c r="B21" s="39" t="s">
        <x:v>2352</x:v>
      </x:c>
      <x:c r="C21" s="13" t="s">
        <x:v>2353</x:v>
      </x:c>
      <x:c r="D21" s="1"/>
    </x:row>
    <x:row r="22" ht="33" hidden="0" customHeight="1">
      <x:c r="A22" s="1"/>
      <x:c r="B22" s="40" t="s">
        <x:v>2354</x:v>
      </x:c>
      <x:c r="C22" s="20" t="s">
        <x:v>2355</x:v>
      </x:c>
      <x:c r="D22" s="1"/>
    </x:row>
    <x:row r="23" ht="33" hidden="0" customHeight="1">
      <x:c r="A23" s="1"/>
      <x:c r="B23" s="41" t="s">
        <x:v>2356</x:v>
      </x:c>
      <x:c r="C23" s="13" t="s">
        <x:v>2357</x:v>
      </x:c>
      <x:c r="D23" s="1"/>
    </x:row>
    <x:row r="24" ht="33" hidden="0" customHeight="1">
      <x:c r="A24" s="1"/>
      <x:c r="B24" s="42" t="s">
        <x:v>2358</x:v>
      </x:c>
      <x:c r="C24" s="20" t="s">
        <x:v>2359</x:v>
      </x:c>
      <x:c r="D24" s="1"/>
    </x:row>
    <x:row r="25" ht="33" hidden="0" customHeight="1">
      <x:c r="A25" s="1"/>
      <x:c r="B25" s="43" t="s">
        <x:v>2360</x:v>
      </x:c>
      <x:c r="C25" s="13" t="s">
        <x:v>2361</x:v>
      </x:c>
      <x:c r="D25" s="1"/>
    </x:row>
    <x:row r="26" ht="43.5" hidden="0" customHeight="1">
      <x:c r="A26" s="1"/>
      <x:c r="B26" s="20" t="s">
        <x:v>2362</x:v>
      </x:c>
      <x:c r="C26" s="20" t="s">
        <x:v>2363</x:v>
      </x:c>
      <x:c r="D26" s="1"/>
    </x:row>
    <x:row r="27" ht="43.5" hidden="0" customHeight="1">
      <x:c r="A27" s="1"/>
      <x:c r="B27" s="13" t="s">
        <x:v>2364</x:v>
      </x:c>
      <x:c r="C27" s="13" t="s">
        <x:v>2365</x:v>
      </x:c>
      <x:c r="D27" s="1"/>
    </x:row>
    <x:row r="28" ht="43.5" hidden="0" customHeight="1">
      <x:c r="A28" s="1"/>
      <x:c r="B28" s="20" t="s">
        <x:v>2366</x:v>
      </x:c>
      <x:c r="C28" s="20" t="s">
        <x:v>2367</x:v>
      </x:c>
      <x:c r="D28" s="1"/>
    </x:row>
    <x:row r="29" ht="57.75" hidden="0" customHeight="1">
      <x:c r="A29" s="1"/>
      <x:c r="B29" s="13" t="s">
        <x:v>2368</x:v>
      </x:c>
      <x:c r="C29" s="13" t="s">
        <x:v>2369</x:v>
      </x:c>
      <x:c r="D29" s="1"/>
    </x:row>
    <x:row r="30" ht="43.5" hidden="0" customHeight="1">
      <x:c r="A30" s="1"/>
      <x:c r="B30" s="20" t="s">
        <x:v>2370</x:v>
      </x:c>
      <x:c r="C30" s="20" t="s">
        <x:v>2371</x:v>
      </x:c>
      <x:c r="D30" s="1"/>
    </x:row>
    <x:row r="31" ht="43.5" hidden="0" customHeight="1">
      <x:c r="A31" s="1"/>
      <x:c r="B31" s="13" t="s">
        <x:v>2338</x:v>
      </x:c>
      <x:c r="C31" s="13" t="s">
        <x:v>2372</x:v>
      </x:c>
      <x:c r="D31" s="1"/>
    </x:row>
    <x:row r="32" ht="57.75" hidden="0" customHeight="1">
      <x:c r="A32" s="1"/>
      <x:c r="B32" s="20" t="s">
        <x:v>2373</x:v>
      </x:c>
      <x:c r="C32" s="20" t="s">
        <x:v>2374</x:v>
      </x:c>
      <x:c r="D32" s="1"/>
    </x:row>
    <x:row r="33" ht="85.5" hidden="0" customHeight="1">
      <x:c r="A33" s="1"/>
      <x:c r="B33" s="20" t="s">
        <x:v>2375</x:v>
      </x:c>
      <x:c r="C33" s="20" t="s">
        <x:v>2376</x:v>
      </x:c>
      <x:c r="D33" s="1"/>
    </x:row>
    <x:row r="34" ht="72" hidden="0" customHeight="1">
      <x:c r="A34" s="1"/>
      <x:c r="B34" s="20" t="s">
        <x:v>2377</x:v>
      </x:c>
      <x:c r="C34" s="20" t="s">
        <x:v>2378</x:v>
      </x:c>
      <x:c r="D34" s="1"/>
    </x:row>
    <x:row r="35" ht="57.75" hidden="0" customHeight="1">
      <x:c r="A35" s="1"/>
      <x:c r="B35" s="20" t="s">
        <x:v>2379</x:v>
      </x:c>
      <x:c r="C35" s="20" t="s">
        <x:v>2380</x:v>
      </x:c>
      <x:c r="D35" s="1"/>
    </x:row>
    <x:row r="36" ht="85.5" hidden="0" customHeight="1">
      <x:c r="A36" s="1"/>
      <x:c r="B36" s="20" t="s">
        <x:v>2381</x:v>
      </x:c>
      <x:c r="C36" s="20" t="s">
        <x:v>2382</x:v>
      </x:c>
      <x:c r="D36" s="1"/>
    </x:row>
    <x:row r="37" ht="72" hidden="0" customHeight="1">
      <x:c r="A37" s="1"/>
      <x:c r="B37" s="20" t="s">
        <x:v>2383</x:v>
      </x:c>
      <x:c r="C37" s="20" t="s">
        <x:v>2384</x:v>
      </x:c>
      <x:c r="D37" s="1"/>
    </x:row>
    <x:row r="38" ht="43.5" hidden="0" customHeight="1">
      <x:c r="A38" s="1"/>
      <x:c r="B38" s="13" t="s">
        <x:v>2385</x:v>
      </x:c>
      <x:c r="C38" s="13" t="s">
        <x:v>2386</x:v>
      </x:c>
      <x:c r="D38" s="1"/>
    </x:row>
    <x:row r="39" ht="57.75" hidden="0" customHeight="1">
      <x:c r="A39" s="1"/>
      <x:c r="B39" s="20" t="s">
        <x:v>2387</x:v>
      </x:c>
      <x:c r="C39" s="20" t="s">
        <x:v>2388</x:v>
      </x:c>
      <x:c r="D39" s="1"/>
    </x:row>
    <x:row r="40" ht="57.75" hidden="0" customHeight="1">
      <x:c r="A40" s="1"/>
      <x:c r="B40" s="13" t="s">
        <x:v>2389</x:v>
      </x:c>
      <x:c r="C40" s="13" t="s">
        <x:v>2390</x:v>
      </x:c>
      <x:c r="D40" s="1"/>
    </x:row>
    <x:row r="41" ht="57.75" hidden="0" customHeight="1">
      <x:c r="A41" s="1"/>
      <x:c r="B41" s="20" t="s">
        <x:v>2391</x:v>
      </x:c>
      <x:c r="C41" s="20" t="s">
        <x:v>2392</x:v>
      </x:c>
      <x:c r="D41" s="1"/>
    </x:row>
    <x:row r="42" ht="57.75" hidden="0" customHeight="1">
      <x:c r="A42" s="1"/>
      <x:c r="B42" s="13" t="s">
        <x:v>2393</x:v>
      </x:c>
      <x:c r="C42" s="13" t="s">
        <x:v>2394</x:v>
      </x:c>
      <x:c r="D42" s="1"/>
    </x:row>
    <x:row r="43" ht="57.75" hidden="0" customHeight="1">
      <x:c r="A43" s="1"/>
      <x:c r="B43" s="20" t="s">
        <x:v>2395</x:v>
      </x:c>
      <x:c r="C43" s="20" t="s">
        <x:v>2396</x:v>
      </x:c>
      <x:c r="D43" s="1"/>
    </x:row>
    <x:row r="44" ht="67.5" hidden="0" customHeight="1">
      <x:c r="A44" s="1"/>
      <x:c r="B44" s="13" t="s">
        <x:v>2397</x:v>
      </x:c>
      <x:c r="C44" s="13" t="str">
        <x:v>Na sexta anterior, preparar a próxima semana. Na revisão mensal, ajustar as quatro semanas seguintes conforme dúvidas recebidas, disponibilidade de recursos e oferta atual. O período de 360 dias serve como base editorial; produzir e revisar os materiais em lotes mensais. Use a aba Produção mensal para acompanhar cada lote, filtrando a coluna Mês.</x:v>
      </x:c>
      <x:c r="D44" s="1"/>
    </x:row>
    <x:row r="45" ht="57.75" hidden="0" customHeight="1">
      <x:c r="A45" s="1"/>
      <x:c r="B45" s="20" t="s">
        <x:v>2398</x:v>
      </x:c>
      <x:c r="C45" s="20" t="s">
        <x:v>2399</x:v>
      </x:c>
      <x:c r="D45" s="1"/>
    </x:row>
    <x:row r="46" ht="43.5" hidden="0" customHeight="1">
      <x:c r="A46" s="1"/>
      <x:c r="B46" s="13" t="s">
        <x:v>2400</x:v>
      </x:c>
      <x:c r="C46" s="13" t="s">
        <x:v>2401</x:v>
      </x:c>
      <x:c r="D46" s="1"/>
    </x:row>
    <x:row r="47" ht="43.5" hidden="0" customHeight="1">
      <x:c r="A47" s="1"/>
      <x:c r="B47" s="20" t="s">
        <x:v>2402</x:v>
      </x:c>
      <x:c r="C47" s="20" t="s">
        <x:v>2403</x:v>
      </x:c>
      <x:c r="D47" s="1"/>
    </x:row>
    <x:row r="48" ht="76.5" hidden="0" customHeight="1">
      <x:c r="A48" s="1"/>
      <x:c r="B48" s="13" t="s">
        <x:v>2404</x:v>
      </x:c>
      <x:c r="C48" s="13" t="str">
        <x:v>As datas são planejamento editorial. Os estados Agendado e Publicado só devem ser preenchidos após a ação em cada rede. Usar as opções disponíveis no Meta Business Suite no momento da programação, sem pressupor que todo o período pode ser agendado de uma vez. Instagram, Facebook, LinkedIn, TikTok e YouTube Shorts têm controles independentes no Calendário.</x:v>
      </x:c>
      <x:c r="D48" s="1"/>
    </x:row>
    <x:row r="49" ht="33" hidden="0" customHeight="1">
      <x:c r="A49" s="1"/>
      <x:c r="B49" s="20" t="s">
        <x:v>2405</x:v>
      </x:c>
      <x:c r="C49" s="20" t="s">
        <x:v>2406</x:v>
      </x:c>
      <x:c r="D49" s="1"/>
    </x:row>
    <x:row r="50" ht="43.5" hidden="0" customHeight="1">
      <x:c r="A50" s="1"/>
      <x:c r="B50" s="13" t="s">
        <x:v>2407</x:v>
      </x:c>
      <x:c r="C50" s="13" t="s">
        <x:v>2408</x:v>
      </x:c>
      <x:c r="D50" s="1"/>
    </x:row>
    <x:row r="51" ht="57.75" hidden="0" customHeight="1">
      <x:c r="A51" s="1"/>
      <x:c r="B51" s="20" t="s">
        <x:v>2409</x:v>
      </x:c>
      <x:c r="C51" s="20" t="s">
        <x:v>2410</x:v>
      </x:c>
      <x:c r="D51" s="1"/>
    </x:row>
    <x:row r="52" ht="33" hidden="0" customHeight="1">
      <x:c r="A52" s="1"/>
      <x:c r="B52" s="13" t="s">
        <x:v>2411</x:v>
      </x:c>
      <x:c r="C52" s="13" t="s">
        <x:v>2412</x:v>
      </x:c>
      <x:c r="D52" s="1"/>
    </x:row>
    <x:row r="53" ht="33" hidden="0" customHeight="1">
      <x:c r="A53" s="1"/>
      <x:c r="B53" s="20" t="s">
        <x:v>2413</x:v>
      </x:c>
      <x:c r="C53" s="20" t="s">
        <x:v>2414</x:v>
      </x:c>
      <x:c r="D53" s="1"/>
    </x:row>
    <x:row r="54" ht="33" hidden="0" customHeight="1">
      <x:c r="A54" s="1"/>
      <x:c r="B54" s="13" t="s">
        <x:v>2415</x:v>
      </x:c>
      <x:c r="C54" s="13" t="s">
        <x:v>2416</x:v>
      </x:c>
      <x:c r="D54" s="1"/>
    </x:row>
    <x:row r="55" ht="33" hidden="0" customHeight="1">
      <x:c r="A55" s="1"/>
      <x:c r="B55" s="20" t="s">
        <x:v>2417</x:v>
      </x:c>
      <x:c r="C55" s="20" t="s">
        <x:v>2418</x:v>
      </x:c>
      <x:c r="D55" s="1"/>
    </x:row>
    <x:row r="56" ht="33" hidden="0" customHeight="1">
      <x:c r="A56" s="1"/>
      <x:c r="B56" s="13" t="s">
        <x:v>2419</x:v>
      </x:c>
      <x:c r="C56" s="13" t="s">
        <x:v>2420</x:v>
      </x:c>
      <x:c r="D56" s="1"/>
    </x:row>
    <x:row r="57" ht="33" hidden="0" customHeight="1">
      <x:c r="B57" s="20" t="s">
        <x:v>2421</x:v>
      </x:c>
      <x:c r="C57" s="20" t="s">
        <x:v>2422</x:v>
      </x:c>
    </x:row>
    <x:row r="58" ht="33" hidden="0" customHeight="1">
      <x:c r="B58" s="13" t="s">
        <x:v>2423</x:v>
      </x:c>
      <x:c r="C58" s="13" t="s">
        <x:v>2424</x:v>
      </x:c>
    </x:row>
    <x:row r="59" ht="33" hidden="0" customHeight="1">
      <x:c r="B59" s="20" t="s">
        <x:v>2425</x:v>
      </x:c>
      <x:c r="C59" s="20" t="s">
        <x:v>2426</x:v>
      </x:c>
    </x:row>
    <x:row r="60" ht="33" hidden="0" customHeight="1">
      <x:c r="B60" s="13" t="s">
        <x:v>2427</x:v>
      </x:c>
      <x:c r="C60" s="13" t="s">
        <x:v>2428</x:v>
      </x:c>
    </x:row>
    <x:row r="61" ht="33" hidden="0" customHeight="1">
      <x:c r="B61" s="20" t="s">
        <x:v>2429</x:v>
      </x:c>
      <x:c r="C61" s="20" t="s">
        <x:v>2430</x:v>
      </x:c>
    </x:row>
    <x:row r="62" ht="33" hidden="0" customHeight="1">
      <x:c r="B62" s="13" t="s">
        <x:v>2431</x:v>
      </x:c>
      <x:c r="C62" s="13" t="s">
        <x:v>2432</x:v>
      </x:c>
    </x:row>
    <x:row r="63" ht="33" hidden="0" customHeight="1">
      <x:c r="B63" s="20" t="s">
        <x:v>2433</x:v>
      </x:c>
      <x:c r="C63" s="20" t="s">
        <x:v>2434</x:v>
      </x:c>
    </x:row>
    <x:row r="64" ht="57.75" hidden="0" customHeight="1">
      <x:c r="B64" s="13" t="s">
        <x:v>2435</x:v>
      </x:c>
      <x:c r="C64" s="13" t="s">
        <x:v>2436</x:v>
      </x:c>
    </x:row>
    <x:row r="65" ht="43.5" hidden="0" customHeight="1">
      <x:c r="B65" s="20" t="s">
        <x:v>2437</x:v>
      </x:c>
      <x:c r="C65" s="20" t="s">
        <x:v>2438</x:v>
      </x:c>
    </x:row>
    <x:row r="66" ht="43.5" hidden="0" customHeight="1">
      <x:c r="B66" s="13" t="s">
        <x:v>2439</x:v>
      </x:c>
      <x:c r="C66" s="13" t="s">
        <x:v>2440</x:v>
      </x:c>
    </x:row>
    <x:row r="67" ht="43.5" hidden="0" customHeight="1">
      <x:c r="B67" s="20" t="s">
        <x:v>2441</x:v>
      </x:c>
      <x:c r="C67" s="20" t="s">
        <x:v>2442</x:v>
      </x:c>
    </x:row>
    <x:row r="68" ht="33" hidden="0" customHeight="1">
      <x:c r="B68" s="13" t="s">
        <x:v>2443</x:v>
      </x:c>
      <x:c r="C68" s="13" t="s">
        <x:v>2444</x:v>
      </x:c>
    </x:row>
    <x:row r="69" ht="33" hidden="0" customHeight="1">
      <x:c r="B69" s="20" t="s">
        <x:v>2445</x:v>
      </x:c>
      <x:c r="C69" s="20" t="s">
        <x:v>2446</x:v>
      </x:c>
    </x:row>
    <x:row r="70" ht="39.54999923706055" hidden="0">
      <x:c r="B70" s="13" t="s">
        <x:v>2447</x:v>
      </x:c>
      <x:c r="C70" s="13" t="s">
        <x:v>2448</x:v>
      </x:c>
    </x:row>
    <x:row r="71" ht="39.54999923706055" hidden="0">
      <x:c r="B71" s="20" t="s">
        <x:v>2449</x:v>
      </x:c>
      <x:c r="C71" s="20" t="s">
        <x:v>2450</x:v>
      </x:c>
    </x:row>
    <x:row r="72" ht="39.54999923706055" hidden="0">
      <x:c r="B72" s="13" t="s">
        <x:v>2451</x:v>
      </x:c>
      <x:c r="C72" s="13" t="s">
        <x:v>2452</x:v>
      </x:c>
    </x:row>
    <x:row r="73" ht="15" hidden="0">
      <x:c r="B73" s="20" t="s">
        <x:v>2453</x:v>
      </x:c>
      <x:c r="C73" s="20" t="s">
        <x:v>2454</x:v>
      </x:c>
    </x:row>
    <x:row r="74" ht="15" hidden="0">
      <x:c r="B74" s="13" t="s">
        <x:v>2455</x:v>
      </x:c>
      <x:c r="C74" s="13" t="s">
        <x:v>2456</x:v>
      </x:c>
    </x:row>
    <x:row r="75" ht="66" customHeight="1">
      <x:c r="B75" s="53" t="str">
        <x:v>Estado inicial das pautas</x:v>
      </x:c>
      <x:c r="C75" s="53" t="str">
        <x:v>Planejada indica que a pauta está definida, mas o material ainda precisa ser produzido. O estado anterior Pauta pronta foi substituído. P06 e P10 continuam como Falta gravar. Os estados existentes foram preservados nas demais situações.</x:v>
      </x:c>
    </x:row>
    <x:row r="76" ht="66" customHeight="1">
      <x:c r="B76" s="55" t="str">
        <x:v>Status por canal</x:v>
      </x:c>
      <x:c r="C76" s="55" t="str">
        <x:v>Atualize cada rede separadamente no Calendário. Os controles antes combinados de TikTok e YouTube Shorts foram separados e começam com o mesmo estado anterior. Não se aplica identifica os formatos fora da distribuição prevista para aquela rede.</x:v>
      </x:c>
    </x:row>
    <x:row r="77" ht="66" customHeight="1">
      <x:c r="B77" s="53" t="str">
        <x:v>Controle de produção mensal</x:v>
      </x:c>
      <x:c r="C77" s="53" t="str">
        <x:v>Na aba Produção mensal, filtre Mês para executar o lote. Cada linha representa um ID da base de 360 dias. Os 13 meses civis incluem setembro de 2026 e setembro de 2027 parciais; os 12 meses editoriais da estratégia permanecem iguais.</x:v>
      </x:c>
    </x:row>
    <x:row r="78" ht="66" customHeight="1">
      <x:c r="B78" s="55" t="str">
        <x:v>Campos de produção</x:v>
      </x:c>
      <x:c r="C78" s="55" t="str">
        <x:v>Preencha Arte e capa, Vídeo, Revisão e Aprovação nas células amarelas. Insira o link dos arquivos finais e observações na mesma linha. O responsável é informado no Calendário e aparece automaticamente pelo ID.</x:v>
      </x:c>
    </x:row>
    <x:row r="79" ht="66" customHeight="1">
      <x:c r="B79" s="53" t="str">
        <x:v>Leitura do andamento</x:v>
      </x:c>
      <x:c r="C79" s="53" t="str">
        <x:v>Agendamento soma os canais marcados como Agendado ou Publicado. Publicação conta apenas Publicado. O total exclui TikTok ou Shorts quando estiverem como Não se aplica. As contagens vêm do Calendário; atualizar uma rede não altera as outras.</x:v>
      </x:c>
    </x:row>
    <x:row r="80" ht="66" customHeight="1">
      <x:c r="B80" s="55" t="str">
        <x:v>Fechamento do lote mensal</x:v>
      </x:c>
      <x:c r="C80" s="55" t="str">
        <x:v>Antes de agendar, confira os materiais e marque revisão e aprovação conforme o trabalho concluído. Depois, registre o andamento em cada rede no Calendário. A nova aba organiza a produção; ela não publica nem agenda conteúdos nas plataformas.</x:v>
      </x:c>
    </x:row>
  </x:sheetData>
  <x:pageMargins left="0.7" right="0.7" top="0.75" bottom="0.75" header="0.3" footer="0.3"/>
  <x:tableParts count="1">
    <x:tablePart xmlns:r="http://schemas.openxmlformats.org/officeDocument/2006/relationships" r:id="Ra232b343a16d4fec"/>
  </x:tableParts>
</x:worksheet>
</file>

<file path=xl/worksheets/sheet5.xml><?xml version="1.0" encoding="utf-8"?>
<x:worksheet xmlns:x="http://schemas.openxmlformats.org/spreadsheetml/2006/main">
  <x:sheetPr>
    <x:tabColor rgb="FFF36B21"/>
  </x:sheetPr>
  <x:sheetViews>
    <x:sheetView showGridLines="0" workbookViewId="0">
      <x:pane xSplit="4" ySplit="8" topLeftCell="E9" activePane="bottomRight" state="frozen"/>
    </x:sheetView>
  </x:sheetViews>
  <x:sheetFormatPr defaultRowHeight="15"/>
  <x:cols>
    <x:col min="1" max="1" width="3" hidden="0" customWidth="1"/>
    <x:col min="2" max="2" width="11.5" hidden="0" customWidth="1"/>
    <x:col min="3" max="3" width="7.5" hidden="0" customWidth="1"/>
    <x:col min="4" max="4" width="13" hidden="0" customWidth="1"/>
    <x:col min="5" max="5" width="12.75" hidden="0" customWidth="1"/>
    <x:col min="6" max="6" width="40" hidden="0" customWidth="1"/>
    <x:col min="7" max="7" width="18.75" hidden="0" customWidth="1"/>
    <x:col min="8" max="8" width="16.5" hidden="0" customWidth="1"/>
    <x:col min="9" max="9" width="16.5" hidden="0" customWidth="1"/>
    <x:col min="10" max="10" width="19" hidden="0" customWidth="1"/>
    <x:col min="11" max="11" width="18" hidden="0" customWidth="1"/>
    <x:col min="12" max="12" width="16.5" hidden="0" customWidth="1"/>
    <x:col min="13" max="13" width="16.5" hidden="0" customWidth="1"/>
    <x:col min="14" max="14" width="28.75" hidden="0" customWidth="1"/>
    <x:col min="15" max="15" width="32.5" hidden="0" customWidth="1"/>
    <x:col min="16" max="16" width="3" hidden="0" customWidth="1"/>
  </x:cols>
  <x:sheetData>
    <x:row r="1">
      <x:c r="A1" s="61"/>
      <x:c r="B1" s="61"/>
      <x:c r="C1" s="61"/>
      <x:c r="D1" s="61"/>
      <x:c r="E1" s="61"/>
      <x:c r="F1" s="61"/>
      <x:c r="G1" s="61"/>
      <x:c r="H1" s="61"/>
      <x:c r="I1" s="61"/>
      <x:c r="J1" s="61"/>
      <x:c r="K1" s="61"/>
      <x:c r="L1" s="61"/>
      <x:c r="M1" s="61"/>
      <x:c r="N1" s="61"/>
      <x:c r="O1" s="61"/>
      <x:c r="P1" s="61"/>
    </x:row>
    <x:row r="2" ht="33" customHeight="1">
      <x:c r="A2" s="61"/>
      <x:c r="B2" s="62" t="str">
        <x:v>Arxis · Produção mensal</x:v>
      </x:c>
      <x:c r="C2" s="61"/>
      <x:c r="D2" s="61"/>
      <x:c r="E2" s="61"/>
      <x:c r="F2" s="61"/>
      <x:c r="G2" s="61"/>
      <x:c r="H2" s="61"/>
      <x:c r="I2" s="61"/>
      <x:c r="J2" s="61"/>
      <x:c r="K2" s="61"/>
      <x:c r="L2" s="61"/>
      <x:c r="M2" s="61"/>
      <x:c r="N2" s="61"/>
      <x:c r="O2" s="61"/>
      <x:c r="P2" s="61"/>
    </x:row>
    <x:row r="3" ht="31.5" customHeight="1">
      <x:c r="A3" s="61"/>
      <x:c r="B3" s="64" t="str">
        <x:v>206 pautas de feed, vinculadas ao Calendário pelo ID. Filtre a coluna Mês para trabalhar no lote atual. Os meses civis seguem as datas previstas, de setembro de 2026 a setembro de 2027.</x:v>
      </x:c>
      <x:c r="C3" s="64"/>
      <x:c r="D3" s="64"/>
      <x:c r="E3" s="64"/>
      <x:c r="F3" s="64"/>
      <x:c r="G3" s="64"/>
      <x:c r="H3" s="64"/>
      <x:c r="I3" s="64"/>
      <x:c r="J3" s="64"/>
      <x:c r="K3" s="64"/>
      <x:c r="L3" s="64"/>
      <x:c r="M3" s="64"/>
      <x:c r="N3" s="64"/>
      <x:c r="O3" s="64"/>
      <x:c r="P3" s="61"/>
    </x:row>
    <x:row r="4" ht="1.5" customHeight="1">
      <x:c r="A4" s="61"/>
      <x:c r="B4" s="58"/>
      <x:c r="C4" s="58"/>
      <x:c r="D4" s="58"/>
      <x:c r="E4" s="58"/>
      <x:c r="F4" s="58"/>
      <x:c r="G4" s="58"/>
      <x:c r="H4" s="58"/>
      <x:c r="I4" s="58"/>
      <x:c r="J4" s="58"/>
      <x:c r="K4" s="58"/>
      <x:c r="L4" s="58"/>
      <x:c r="M4" s="58"/>
      <x:c r="N4" s="58"/>
      <x:c r="O4" s="58"/>
      <x:c r="P4" s="61"/>
    </x:row>
    <x:row r="5" ht="10.5" customHeight="1">
      <x:c r="A5" s="61"/>
      <x:c r="B5" s="61"/>
      <x:c r="C5" s="61"/>
      <x:c r="D5" s="61"/>
      <x:c r="E5" s="61"/>
      <x:c r="F5" s="61"/>
      <x:c r="G5" s="61"/>
      <x:c r="H5" s="61"/>
      <x:c r="I5" s="61"/>
      <x:c r="J5" s="61"/>
      <x:c r="K5" s="61"/>
      <x:c r="L5" s="61"/>
      <x:c r="M5" s="61"/>
      <x:c r="N5" s="61"/>
      <x:c r="O5" s="61"/>
      <x:c r="P5" s="61"/>
    </x:row>
    <x:row r="6" ht="31.5" customHeight="1">
      <x:c r="A6" s="61"/>
      <x:c r="B6" s="64" t="str">
        <x:v>Preencha as células amarelas. Responsável e status por rede: editar no Calendário. Agendamento = canais agendados ou já publicados; Publicação = canais publicados. Exemplo: 1 de 5.</x:v>
      </x:c>
      <x:c r="C6" s="64"/>
      <x:c r="D6" s="64"/>
      <x:c r="E6" s="64"/>
      <x:c r="F6" s="64"/>
      <x:c r="G6" s="64"/>
      <x:c r="H6" s="64"/>
      <x:c r="I6" s="64"/>
      <x:c r="J6" s="64"/>
      <x:c r="K6" s="64"/>
      <x:c r="L6" s="64"/>
      <x:c r="M6" s="64"/>
      <x:c r="N6" s="64"/>
      <x:c r="O6" s="64"/>
      <x:c r="P6" s="61"/>
    </x:row>
    <x:row r="7" ht="10.5" customHeight="1">
      <x:c r="A7" s="61"/>
      <x:c r="B7" s="61"/>
      <x:c r="C7" s="61"/>
      <x:c r="D7" s="61"/>
      <x:c r="E7" s="61"/>
      <x:c r="F7" s="61"/>
      <x:c r="G7" s="61"/>
      <x:c r="H7" s="61"/>
      <x:c r="I7" s="61"/>
      <x:c r="J7" s="61"/>
      <x:c r="K7" s="61"/>
      <x:c r="L7" s="61"/>
      <x:c r="M7" s="61"/>
      <x:c r="N7" s="61"/>
      <x:c r="O7" s="61"/>
      <x:c r="P7" s="61"/>
    </x:row>
    <x:row r="8" ht="33" customHeight="1">
      <x:c r="A8" s="61"/>
      <x:c r="B8" s="47" t="str">
        <x:v>Mês</x:v>
      </x:c>
      <x:c r="C8" s="47" t="str">
        <x:v>ID</x:v>
      </x:c>
      <x:c r="D8" s="47" t="str">
        <x:v>Data prevista</x:v>
      </x:c>
      <x:c r="E8" s="47" t="str">
        <x:v>Formato</x:v>
      </x:c>
      <x:c r="F8" s="47" t="str">
        <x:v>Tema</x:v>
      </x:c>
      <x:c r="G8" s="47" t="str">
        <x:v>Responsável</x:v>
      </x:c>
      <x:c r="H8" s="47" t="str">
        <x:v>Arte e capa</x:v>
      </x:c>
      <x:c r="I8" s="47" t="str">
        <x:v>Vídeo</x:v>
      </x:c>
      <x:c r="J8" s="47" t="str">
        <x:v>Revisão</x:v>
      </x:c>
      <x:c r="K8" s="47" t="str">
        <x:v>Aprovação</x:v>
      </x:c>
      <x:c r="L8" s="47" t="str">
        <x:v>Agendamento</x:v>
      </x:c>
      <x:c r="M8" s="47" t="str">
        <x:v>Publicação</x:v>
      </x:c>
      <x:c r="N8" s="47" t="str">
        <x:v>Link dos arquivos</x:v>
      </x:c>
      <x:c r="O8" s="47" t="str">
        <x:v>Observações</x:v>
      </x:c>
      <x:c r="P8" s="61"/>
    </x:row>
    <x:row r="9" ht="57" customHeight="1">
      <x:c r="A9" s="61"/>
      <x:c r="B9" s="68" t="str">
        <x:f>TEXT(D9,"yyyy-mm")</x:f>
        <x:v>2026-09</x:v>
      </x:c>
      <x:c r="C9" s="71" t="str">
        <x:v>P01</x:v>
      </x:c>
      <x:c r="D9" s="89" t="n">
        <x:f>INDEX('Calendário'!$C$9:$C$214,MATCH($C9,'Calendário'!$B$9:$B$214,0))</x:f>
        <x:v>46279.5</x:v>
      </x:c>
      <x:c r="E9" s="68" t="str">
        <x:f>INDEX('Calendário'!$F$9:$F$214,MATCH($C9,'Calendário'!$B$9:$B$214,0))</x:f>
        <x:v>Estático</x:v>
      </x:c>
      <x:c r="F9" s="68" t="str">
        <x:f>INDEX('Calendário'!$G$9:$G$214,MATCH($C9,'Calendário'!$B$9:$B$214,0))</x:f>
        <x:v>Conheça a Arxis: visualize, analise,
decida.</x:v>
      </x:c>
      <x:c r="G9" s="77" t="str">
        <x:f>IF(INDEX('Calendário'!$P$9:$P$214,MATCH($C9,'Calendário'!$B$9:$B$214,0))="","",INDEX('Calendário'!$P$9:$P$214,MATCH($C9,'Calendário'!$B$9:$B$214,0)))</x:f>
      </x:c>
      <x:c r="H9" s="74" t="str">
        <x:v>Não iniciada</x:v>
      </x:c>
      <x:c r="I9" s="74" t="str">
        <x:v>Não se aplica</x:v>
      </x:c>
      <x:c r="J9" s="74" t="str">
        <x:v>Pendente</x:v>
      </x:c>
      <x:c r="K9" s="74" t="str">
        <x:v>Pendente</x:v>
      </x:c>
      <x:c r="L9" s="86" t="str">
        <x:f>(COUNTIFS('Calendário'!$B$9:$B$214,$C9,'Calendário'!$J$9:$J$214,"Agendado")+COUNTIFS('Calendário'!$B$9:$B$214,$C9,'Calendário'!$K$9:$K$214,"Agendado")+COUNTIFS('Calendário'!$B$9:$B$214,$C9,'Calendário'!$M$9:$M$214,"Agendado")+COUNTIFS('Calendário'!$B$9:$B$214,$C9,'Calendário'!$N$9:$N$214,"Agendado")+COUNTIFS('Calendário'!$B$9:$B$214,$C9,'Calendário'!$O$9:$O$214,"Agendado")+COUNTIFS('Calendário'!$B$9:$B$214,$C9,'Calendário'!$J$9:$J$214,"Publicado")+COUNTIFS('Calendário'!$B$9:$B$214,$C9,'Calendário'!$K$9:$K$214,"Publicado")+COUNTIFS('Calendário'!$B$9:$B$214,$C9,'Calendário'!$M$9:$M$214,"Publicado")+COUNTIFS('Calendário'!$B$9:$B$214,$C9,'Calendário'!$N$9:$N$214,"Publicado")+COUNTIFS('Calendário'!$B$9:$B$214,$C9,'Calendário'!$O$9:$O$214,"Publicado"))&amp;" de "&amp;(5-COUNTIFS('Calendário'!$B$9:$B$214,$C9,'Calendário'!$N$9:$N$214,"Não se aplica")-COUNTIFS('Calendário'!$B$9:$B$214,$C9,'Calendário'!$O$9:$O$214,"Não se aplica"))</x:f>
        <x:v>0 de 3</x:v>
      </x:c>
      <x:c r="M9" s="86" t="str">
        <x:f>(COUNTIFS('Calendário'!$B$9:$B$214,$C9,'Calendário'!$J$9:$J$214,"Publicado")+COUNTIFS('Calendário'!$B$9:$B$214,$C9,'Calendário'!$K$9:$K$214,"Publicado")+COUNTIFS('Calendário'!$B$9:$B$214,$C9,'Calendário'!$M$9:$M$214,"Publicado")+COUNTIFS('Calendário'!$B$9:$B$214,$C9,'Calendário'!$N$9:$N$214,"Publicado")+COUNTIFS('Calendário'!$B$9:$B$214,$C9,'Calendário'!$O$9:$O$214,"Publicado"))&amp;" de "&amp;(5-COUNTIFS('Calendário'!$B$9:$B$214,$C9,'Calendário'!$N$9:$N$214,"Não se aplica")-COUNTIFS('Calendário'!$B$9:$B$214,$C9,'Calendário'!$O$9:$O$214,"Não se aplica"))</x:f>
        <x:v>0 de 3</x:v>
      </x:c>
      <x:c r="N9" s="74"/>
      <x:c r="O9" s="74"/>
      <x:c r="P9" s="61"/>
    </x:row>
    <x:row r="10" ht="57" customHeight="1">
      <x:c r="A10" s="61"/>
      <x:c r="B10" s="69" t="str">
        <x:f>TEXT(D10,"yyyy-mm")</x:f>
        <x:v>2026-09</x:v>
      </x:c>
      <x:c r="C10" s="72" t="str">
        <x:v>P02</x:v>
      </x:c>
      <x:c r="D10" s="90" t="n">
        <x:f>INDEX('Calendário'!$C$9:$C$214,MATCH($C10,'Calendário'!$B$9:$B$214,0))</x:f>
        <x:v>46281.5</x:v>
      </x:c>
      <x:c r="E10" s="69" t="str">
        <x:f>INDEX('Calendário'!$F$9:$F$214,MATCH($C10,'Calendário'!$B$9:$B$214,0))</x:f>
        <x:v>Reel</x:v>
      </x:c>
      <x:c r="F10" s="69" t="str">
        <x:f>INDEX('Calendário'!$G$9:$G$214,MATCH($C10,'Calendário'!$B$9:$B$214,0))</x:f>
        <x:v>BIM em 30 segundos: o que há por trás do
modelo?</x:v>
      </x:c>
      <x:c r="G10" s="78" t="str">
        <x:f>IF(INDEX('Calendário'!$P$9:$P$214,MATCH($C10,'Calendário'!$B$9:$B$214,0))="","",INDEX('Calendário'!$P$9:$P$214,MATCH($C10,'Calendário'!$B$9:$B$214,0)))</x:f>
      </x:c>
      <x:c r="H10" s="75" t="str">
        <x:v>Não iniciada</x:v>
      </x:c>
      <x:c r="I10" s="75" t="str">
        <x:v>Não iniciado</x:v>
      </x:c>
      <x:c r="J10" s="75" t="str">
        <x:v>Pendente</x:v>
      </x:c>
      <x:c r="K10" s="75" t="str">
        <x:v>Pendente</x:v>
      </x:c>
      <x:c r="L10" s="87" t="str">
        <x:f>(COUNTIFS('Calendário'!$B$9:$B$214,$C10,'Calendário'!$J$9:$J$214,"Agendado")+COUNTIFS('Calendário'!$B$9:$B$214,$C10,'Calendário'!$K$9:$K$214,"Agendado")+COUNTIFS('Calendário'!$B$9:$B$214,$C10,'Calendário'!$M$9:$M$214,"Agendado")+COUNTIFS('Calendário'!$B$9:$B$214,$C10,'Calendário'!$N$9:$N$214,"Agendado")+COUNTIFS('Calendário'!$B$9:$B$214,$C10,'Calendário'!$O$9:$O$214,"Agendado")+COUNTIFS('Calendário'!$B$9:$B$214,$C10,'Calendário'!$J$9:$J$214,"Publicado")+COUNTIFS('Calendário'!$B$9:$B$214,$C10,'Calendário'!$K$9:$K$214,"Publicado")+COUNTIFS('Calendário'!$B$9:$B$214,$C10,'Calendário'!$M$9:$M$214,"Publicado")+COUNTIFS('Calendário'!$B$9:$B$214,$C10,'Calendário'!$N$9:$N$214,"Publicado")+COUNTIFS('Calendário'!$B$9:$B$214,$C10,'Calendário'!$O$9:$O$214,"Publicado"))&amp;" de "&amp;(5-COUNTIFS('Calendário'!$B$9:$B$214,$C10,'Calendário'!$N$9:$N$214,"Não se aplica")-COUNTIFS('Calendário'!$B$9:$B$214,$C10,'Calendário'!$O$9:$O$214,"Não se aplica"))</x:f>
        <x:v>0 de 5</x:v>
      </x:c>
      <x:c r="M10" s="87" t="str">
        <x:f>(COUNTIFS('Calendário'!$B$9:$B$214,$C10,'Calendário'!$J$9:$J$214,"Publicado")+COUNTIFS('Calendário'!$B$9:$B$214,$C10,'Calendário'!$K$9:$K$214,"Publicado")+COUNTIFS('Calendário'!$B$9:$B$214,$C10,'Calendário'!$M$9:$M$214,"Publicado")+COUNTIFS('Calendário'!$B$9:$B$214,$C10,'Calendário'!$N$9:$N$214,"Publicado")+COUNTIFS('Calendário'!$B$9:$B$214,$C10,'Calendário'!$O$9:$O$214,"Publicado"))&amp;" de "&amp;(5-COUNTIFS('Calendário'!$B$9:$B$214,$C10,'Calendário'!$N$9:$N$214,"Não se aplica")-COUNTIFS('Calendário'!$B$9:$B$214,$C10,'Calendário'!$O$9:$O$214,"Não se aplica"))</x:f>
        <x:v>0 de 5</x:v>
      </x:c>
      <x:c r="N10" s="75"/>
      <x:c r="O10" s="75"/>
      <x:c r="P10" s="61"/>
    </x:row>
    <x:row r="11" ht="57" customHeight="1">
      <x:c r="A11" s="61"/>
      <x:c r="B11" s="69" t="str">
        <x:f>TEXT(D11,"yyyy-mm")</x:f>
        <x:v>2026-09</x:v>
      </x:c>
      <x:c r="C11" s="72" t="str">
        <x:v>P03</x:v>
      </x:c>
      <x:c r="D11" s="90" t="n">
        <x:f>INDEX('Calendário'!$C$9:$C$214,MATCH($C11,'Calendário'!$B$9:$B$214,0))</x:f>
        <x:v>46283.5</x:v>
      </x:c>
      <x:c r="E11" s="69" t="str">
        <x:f>INDEX('Calendário'!$F$9:$F$214,MATCH($C11,'Calendário'!$B$9:$B$214,0))</x:f>
        <x:v>Carrossel</x:v>
      </x:c>
      <x:c r="F11" s="69" t="str">
        <x:f>INDEX('Calendário'!$G$9:$G$214,MATCH($C11,'Calendário'!$B$9:$B$214,0))</x:f>
        <x:v>Modelo 3D e informação: o que você
precisa conferir?</x:v>
      </x:c>
      <x:c r="G11" s="78" t="str">
        <x:f>IF(INDEX('Calendário'!$P$9:$P$214,MATCH($C11,'Calendário'!$B$9:$B$214,0))="","",INDEX('Calendário'!$P$9:$P$214,MATCH($C11,'Calendário'!$B$9:$B$214,0)))</x:f>
      </x:c>
      <x:c r="H11" s="75" t="str">
        <x:v>Não iniciada</x:v>
      </x:c>
      <x:c r="I11" s="75" t="str">
        <x:v>Não se aplica</x:v>
      </x:c>
      <x:c r="J11" s="75" t="str">
        <x:v>Pendente</x:v>
      </x:c>
      <x:c r="K11" s="75" t="str">
        <x:v>Pendente</x:v>
      </x:c>
      <x:c r="L11" s="87" t="str">
        <x:f>(COUNTIFS('Calendário'!$B$9:$B$214,$C11,'Calendário'!$J$9:$J$214,"Agendado")+COUNTIFS('Calendário'!$B$9:$B$214,$C11,'Calendário'!$K$9:$K$214,"Agendado")+COUNTIFS('Calendário'!$B$9:$B$214,$C11,'Calendário'!$M$9:$M$214,"Agendado")+COUNTIFS('Calendário'!$B$9:$B$214,$C11,'Calendário'!$N$9:$N$214,"Agendado")+COUNTIFS('Calendário'!$B$9:$B$214,$C11,'Calendário'!$O$9:$O$214,"Agendado")+COUNTIFS('Calendário'!$B$9:$B$214,$C11,'Calendário'!$J$9:$J$214,"Publicado")+COUNTIFS('Calendário'!$B$9:$B$214,$C11,'Calendário'!$K$9:$K$214,"Publicado")+COUNTIFS('Calendário'!$B$9:$B$214,$C11,'Calendário'!$M$9:$M$214,"Publicado")+COUNTIFS('Calendário'!$B$9:$B$214,$C11,'Calendário'!$N$9:$N$214,"Publicado")+COUNTIFS('Calendário'!$B$9:$B$214,$C11,'Calendário'!$O$9:$O$214,"Publicado"))&amp;" de "&amp;(5-COUNTIFS('Calendário'!$B$9:$B$214,$C11,'Calendário'!$N$9:$N$214,"Não se aplica")-COUNTIFS('Calendário'!$B$9:$B$214,$C11,'Calendário'!$O$9:$O$214,"Não se aplica"))</x:f>
        <x:v>0 de 3</x:v>
      </x:c>
      <x:c r="M11" s="87" t="str">
        <x:f>(COUNTIFS('Calendário'!$B$9:$B$214,$C11,'Calendário'!$J$9:$J$214,"Publicado")+COUNTIFS('Calendário'!$B$9:$B$214,$C11,'Calendário'!$K$9:$K$214,"Publicado")+COUNTIFS('Calendário'!$B$9:$B$214,$C11,'Calendário'!$M$9:$M$214,"Publicado")+COUNTIFS('Calendário'!$B$9:$B$214,$C11,'Calendário'!$N$9:$N$214,"Publicado")+COUNTIFS('Calendário'!$B$9:$B$214,$C11,'Calendário'!$O$9:$O$214,"Publicado"))&amp;" de "&amp;(5-COUNTIFS('Calendário'!$B$9:$B$214,$C11,'Calendário'!$N$9:$N$214,"Não se aplica")-COUNTIFS('Calendário'!$B$9:$B$214,$C11,'Calendário'!$O$9:$O$214,"Não se aplica"))</x:f>
        <x:v>0 de 3</x:v>
      </x:c>
      <x:c r="N11" s="75"/>
      <x:c r="O11" s="75"/>
      <x:c r="P11" s="61"/>
    </x:row>
    <x:row r="12" ht="57" customHeight="1">
      <x:c r="A12" s="61"/>
      <x:c r="B12" s="69" t="str">
        <x:f>TEXT(D12,"yyyy-mm")</x:f>
        <x:v>2026-09</x:v>
      </x:c>
      <x:c r="C12" s="72" t="str">
        <x:v>P04</x:v>
      </x:c>
      <x:c r="D12" s="90" t="n">
        <x:f>INDEX('Calendário'!$C$9:$C$214,MATCH($C12,'Calendário'!$B$9:$B$214,0))</x:f>
        <x:v>46284.5</x:v>
      </x:c>
      <x:c r="E12" s="69" t="str">
        <x:f>INDEX('Calendário'!$F$9:$F$214,MATCH($C12,'Calendário'!$B$9:$B$214,0))</x:f>
        <x:v>Estático</x:v>
      </x:c>
      <x:c r="F12" s="69" t="str">
        <x:f>INDEX('Calendário'!$G$9:$G$214,MATCH($C12,'Calendário'!$B$9:$B$214,0))</x:f>
        <x:v>Qual é o maior gargalo na sua rotina de
projetos?</x:v>
      </x:c>
      <x:c r="G12" s="78" t="str">
        <x:f>IF(INDEX('Calendário'!$P$9:$P$214,MATCH($C12,'Calendário'!$B$9:$B$214,0))="","",INDEX('Calendário'!$P$9:$P$214,MATCH($C12,'Calendário'!$B$9:$B$214,0)))</x:f>
      </x:c>
      <x:c r="H12" s="75" t="str">
        <x:v>Não iniciada</x:v>
      </x:c>
      <x:c r="I12" s="75" t="str">
        <x:v>Não se aplica</x:v>
      </x:c>
      <x:c r="J12" s="75" t="str">
        <x:v>Pendente</x:v>
      </x:c>
      <x:c r="K12" s="75" t="str">
        <x:v>Pendente</x:v>
      </x:c>
      <x:c r="L12" s="87" t="str">
        <x:f>(COUNTIFS('Calendário'!$B$9:$B$214,$C12,'Calendário'!$J$9:$J$214,"Agendado")+COUNTIFS('Calendário'!$B$9:$B$214,$C12,'Calendário'!$K$9:$K$214,"Agendado")+COUNTIFS('Calendário'!$B$9:$B$214,$C12,'Calendário'!$M$9:$M$214,"Agendado")+COUNTIFS('Calendário'!$B$9:$B$214,$C12,'Calendário'!$N$9:$N$214,"Agendado")+COUNTIFS('Calendário'!$B$9:$B$214,$C12,'Calendário'!$O$9:$O$214,"Agendado")+COUNTIFS('Calendário'!$B$9:$B$214,$C12,'Calendário'!$J$9:$J$214,"Publicado")+COUNTIFS('Calendário'!$B$9:$B$214,$C12,'Calendário'!$K$9:$K$214,"Publicado")+COUNTIFS('Calendário'!$B$9:$B$214,$C12,'Calendário'!$M$9:$M$214,"Publicado")+COUNTIFS('Calendário'!$B$9:$B$214,$C12,'Calendário'!$N$9:$N$214,"Publicado")+COUNTIFS('Calendário'!$B$9:$B$214,$C12,'Calendário'!$O$9:$O$214,"Publicado"))&amp;" de "&amp;(5-COUNTIFS('Calendário'!$B$9:$B$214,$C12,'Calendário'!$N$9:$N$214,"Não se aplica")-COUNTIFS('Calendário'!$B$9:$B$214,$C12,'Calendário'!$O$9:$O$214,"Não se aplica"))</x:f>
        <x:v>0 de 3</x:v>
      </x:c>
      <x:c r="M12" s="87" t="str">
        <x:f>(COUNTIFS('Calendário'!$B$9:$B$214,$C12,'Calendário'!$J$9:$J$214,"Publicado")+COUNTIFS('Calendário'!$B$9:$B$214,$C12,'Calendário'!$K$9:$K$214,"Publicado")+COUNTIFS('Calendário'!$B$9:$B$214,$C12,'Calendário'!$M$9:$M$214,"Publicado")+COUNTIFS('Calendário'!$B$9:$B$214,$C12,'Calendário'!$N$9:$N$214,"Publicado")+COUNTIFS('Calendário'!$B$9:$B$214,$C12,'Calendário'!$O$9:$O$214,"Publicado"))&amp;" de "&amp;(5-COUNTIFS('Calendário'!$B$9:$B$214,$C12,'Calendário'!$N$9:$N$214,"Não se aplica")-COUNTIFS('Calendário'!$B$9:$B$214,$C12,'Calendário'!$O$9:$O$214,"Não se aplica"))</x:f>
        <x:v>0 de 3</x:v>
      </x:c>
      <x:c r="N12" s="75"/>
      <x:c r="O12" s="75"/>
      <x:c r="P12" s="61"/>
    </x:row>
    <x:row r="13" ht="57" customHeight="1">
      <x:c r="A13" s="61"/>
      <x:c r="B13" s="69" t="str">
        <x:f>TEXT(D13,"yyyy-mm")</x:f>
        <x:v>2026-09</x:v>
      </x:c>
      <x:c r="C13" s="72" t="str">
        <x:v>P05</x:v>
      </x:c>
      <x:c r="D13" s="90" t="n">
        <x:f>INDEX('Calendário'!$C$9:$C$214,MATCH($C13,'Calendário'!$B$9:$B$214,0))</x:f>
        <x:v>46286.5</x:v>
      </x:c>
      <x:c r="E13" s="69" t="str">
        <x:f>INDEX('Calendário'!$F$9:$F$214,MATCH($C13,'Calendário'!$B$9:$B$214,0))</x:f>
        <x:v>Carrossel</x:v>
      </x:c>
      <x:c r="F13" s="69" t="str">
        <x:f>INDEX('Calendário'!$G$9:$G$214,MATCH($C13,'Calendário'!$B$9:$B$214,0))</x:f>
        <x:v>Antes de aprovar uma alteração, faça
cinco perguntas.</x:v>
      </x:c>
      <x:c r="G13" s="78" t="str">
        <x:f>IF(INDEX('Calendário'!$P$9:$P$214,MATCH($C13,'Calendário'!$B$9:$B$214,0))="","",INDEX('Calendário'!$P$9:$P$214,MATCH($C13,'Calendário'!$B$9:$B$214,0)))</x:f>
      </x:c>
      <x:c r="H13" s="75" t="str">
        <x:v>Não iniciada</x:v>
      </x:c>
      <x:c r="I13" s="75" t="str">
        <x:v>Não se aplica</x:v>
      </x:c>
      <x:c r="J13" s="75" t="str">
        <x:v>Pendente</x:v>
      </x:c>
      <x:c r="K13" s="75" t="str">
        <x:v>Pendente</x:v>
      </x:c>
      <x:c r="L13" s="87" t="str">
        <x:f>(COUNTIFS('Calendário'!$B$9:$B$214,$C13,'Calendário'!$J$9:$J$214,"Agendado")+COUNTIFS('Calendário'!$B$9:$B$214,$C13,'Calendário'!$K$9:$K$214,"Agendado")+COUNTIFS('Calendário'!$B$9:$B$214,$C13,'Calendário'!$M$9:$M$214,"Agendado")+COUNTIFS('Calendário'!$B$9:$B$214,$C13,'Calendário'!$N$9:$N$214,"Agendado")+COUNTIFS('Calendário'!$B$9:$B$214,$C13,'Calendário'!$O$9:$O$214,"Agendado")+COUNTIFS('Calendário'!$B$9:$B$214,$C13,'Calendário'!$J$9:$J$214,"Publicado")+COUNTIFS('Calendário'!$B$9:$B$214,$C13,'Calendário'!$K$9:$K$214,"Publicado")+COUNTIFS('Calendário'!$B$9:$B$214,$C13,'Calendário'!$M$9:$M$214,"Publicado")+COUNTIFS('Calendário'!$B$9:$B$214,$C13,'Calendário'!$N$9:$N$214,"Publicado")+COUNTIFS('Calendário'!$B$9:$B$214,$C13,'Calendário'!$O$9:$O$214,"Publicado"))&amp;" de "&amp;(5-COUNTIFS('Calendário'!$B$9:$B$214,$C13,'Calendário'!$N$9:$N$214,"Não se aplica")-COUNTIFS('Calendário'!$B$9:$B$214,$C13,'Calendário'!$O$9:$O$214,"Não se aplica"))</x:f>
        <x:v>0 de 3</x:v>
      </x:c>
      <x:c r="M13" s="87" t="str">
        <x:f>(COUNTIFS('Calendário'!$B$9:$B$214,$C13,'Calendário'!$J$9:$J$214,"Publicado")+COUNTIFS('Calendário'!$B$9:$B$214,$C13,'Calendário'!$K$9:$K$214,"Publicado")+COUNTIFS('Calendário'!$B$9:$B$214,$C13,'Calendário'!$M$9:$M$214,"Publicado")+COUNTIFS('Calendário'!$B$9:$B$214,$C13,'Calendário'!$N$9:$N$214,"Publicado")+COUNTIFS('Calendário'!$B$9:$B$214,$C13,'Calendário'!$O$9:$O$214,"Publicado"))&amp;" de "&amp;(5-COUNTIFS('Calendário'!$B$9:$B$214,$C13,'Calendário'!$N$9:$N$214,"Não se aplica")-COUNTIFS('Calendário'!$B$9:$B$214,$C13,'Calendário'!$O$9:$O$214,"Não se aplica"))</x:f>
        <x:v>0 de 3</x:v>
      </x:c>
      <x:c r="N13" s="75"/>
      <x:c r="O13" s="75"/>
      <x:c r="P13" s="61"/>
    </x:row>
    <x:row r="14" ht="57" customHeight="1">
      <x:c r="A14" s="61"/>
      <x:c r="B14" s="69" t="str">
        <x:f>TEXT(D14,"yyyy-mm")</x:f>
        <x:v>2026-09</x:v>
      </x:c>
      <x:c r="C14" s="72" t="str">
        <x:v>P06</x:v>
      </x:c>
      <x:c r="D14" s="90" t="n">
        <x:f>INDEX('Calendário'!$C$9:$C$214,MATCH($C14,'Calendário'!$B$9:$B$214,0))</x:f>
        <x:v>46288.5</x:v>
      </x:c>
      <x:c r="E14" s="69" t="str">
        <x:f>INDEX('Calendário'!$F$9:$F$214,MATCH($C14,'Calendário'!$B$9:$B$214,0))</x:f>
        <x:v>Reel</x:v>
      </x:c>
      <x:c r="F14" s="69" t="str">
        <x:f>INDEX('Calendário'!$G$9:$G$214,MATCH($C14,'Calendário'!$B$9:$B$214,0))</x:f>
        <x:v>Um detalhe que muda sua leitura do
projeto.</x:v>
      </x:c>
      <x:c r="G14" s="78" t="str">
        <x:f>IF(INDEX('Calendário'!$P$9:$P$214,MATCH($C14,'Calendário'!$B$9:$B$214,0))="","",INDEX('Calendário'!$P$9:$P$214,MATCH($C14,'Calendário'!$B$9:$B$214,0)))</x:f>
      </x:c>
      <x:c r="H14" s="75" t="str">
        <x:v>Não iniciada</x:v>
      </x:c>
      <x:c r="I14" s="75" t="str">
        <x:v>Falta gravar</x:v>
      </x:c>
      <x:c r="J14" s="75" t="str">
        <x:v>Pendente</x:v>
      </x:c>
      <x:c r="K14" s="75" t="str">
        <x:v>Pendente</x:v>
      </x:c>
      <x:c r="L14" s="87" t="str">
        <x:f>(COUNTIFS('Calendário'!$B$9:$B$214,$C14,'Calendário'!$J$9:$J$214,"Agendado")+COUNTIFS('Calendário'!$B$9:$B$214,$C14,'Calendário'!$K$9:$K$214,"Agendado")+COUNTIFS('Calendário'!$B$9:$B$214,$C14,'Calendário'!$M$9:$M$214,"Agendado")+COUNTIFS('Calendário'!$B$9:$B$214,$C14,'Calendário'!$N$9:$N$214,"Agendado")+COUNTIFS('Calendário'!$B$9:$B$214,$C14,'Calendário'!$O$9:$O$214,"Agendado")+COUNTIFS('Calendário'!$B$9:$B$214,$C14,'Calendário'!$J$9:$J$214,"Publicado")+COUNTIFS('Calendário'!$B$9:$B$214,$C14,'Calendário'!$K$9:$K$214,"Publicado")+COUNTIFS('Calendário'!$B$9:$B$214,$C14,'Calendário'!$M$9:$M$214,"Publicado")+COUNTIFS('Calendário'!$B$9:$B$214,$C14,'Calendário'!$N$9:$N$214,"Publicado")+COUNTIFS('Calendário'!$B$9:$B$214,$C14,'Calendário'!$O$9:$O$214,"Publicado"))&amp;" de "&amp;(5-COUNTIFS('Calendário'!$B$9:$B$214,$C14,'Calendário'!$N$9:$N$214,"Não se aplica")-COUNTIFS('Calendário'!$B$9:$B$214,$C14,'Calendário'!$O$9:$O$214,"Não se aplica"))</x:f>
        <x:v>0 de 5</x:v>
      </x:c>
      <x:c r="M14" s="87" t="str">
        <x:f>(COUNTIFS('Calendário'!$B$9:$B$214,$C14,'Calendário'!$J$9:$J$214,"Publicado")+COUNTIFS('Calendário'!$B$9:$B$214,$C14,'Calendário'!$K$9:$K$214,"Publicado")+COUNTIFS('Calendário'!$B$9:$B$214,$C14,'Calendário'!$M$9:$M$214,"Publicado")+COUNTIFS('Calendário'!$B$9:$B$214,$C14,'Calendário'!$N$9:$N$214,"Publicado")+COUNTIFS('Calendário'!$B$9:$B$214,$C14,'Calendário'!$O$9:$O$214,"Publicado"))&amp;" de "&amp;(5-COUNTIFS('Calendário'!$B$9:$B$214,$C14,'Calendário'!$N$9:$N$214,"Não se aplica")-COUNTIFS('Calendário'!$B$9:$B$214,$C14,'Calendário'!$O$9:$O$214,"Não se aplica"))</x:f>
        <x:v>0 de 5</x:v>
      </x:c>
      <x:c r="N14" s="75"/>
      <x:c r="O14" s="75"/>
      <x:c r="P14" s="61"/>
    </x:row>
    <x:row r="15" ht="57" customHeight="1">
      <x:c r="A15" s="61"/>
      <x:c r="B15" s="69" t="str">
        <x:f>TEXT(D15,"yyyy-mm")</x:f>
        <x:v>2026-09</x:v>
      </x:c>
      <x:c r="C15" s="72" t="str">
        <x:v>P07</x:v>
      </x:c>
      <x:c r="D15" s="90" t="n">
        <x:f>INDEX('Calendário'!$C$9:$C$214,MATCH($C15,'Calendário'!$B$9:$B$214,0))</x:f>
        <x:v>46290.5</x:v>
      </x:c>
      <x:c r="E15" s="69" t="str">
        <x:f>INDEX('Calendário'!$F$9:$F$214,MATCH($C15,'Calendário'!$B$9:$B$214,0))</x:f>
        <x:v>Carrossel</x:v>
      </x:c>
      <x:c r="F15" s="69" t="str">
        <x:f>INDEX('Calendário'!$G$9:$G$214,MATCH($C15,'Calendário'!$B$9:$B$214,0))</x:f>
        <x:v>Sete itens para uma reunião de projeto
mais clara.</x:v>
      </x:c>
      <x:c r="G15" s="78" t="str">
        <x:f>IF(INDEX('Calendário'!$P$9:$P$214,MATCH($C15,'Calendário'!$B$9:$B$214,0))="","",INDEX('Calendário'!$P$9:$P$214,MATCH($C15,'Calendário'!$B$9:$B$214,0)))</x:f>
      </x:c>
      <x:c r="H15" s="75" t="str">
        <x:v>Não iniciada</x:v>
      </x:c>
      <x:c r="I15" s="75" t="str">
        <x:v>Não se aplica</x:v>
      </x:c>
      <x:c r="J15" s="75" t="str">
        <x:v>Pendente</x:v>
      </x:c>
      <x:c r="K15" s="75" t="str">
        <x:v>Pendente</x:v>
      </x:c>
      <x:c r="L15" s="87" t="str">
        <x:f>(COUNTIFS('Calendário'!$B$9:$B$214,$C15,'Calendário'!$J$9:$J$214,"Agendado")+COUNTIFS('Calendário'!$B$9:$B$214,$C15,'Calendário'!$K$9:$K$214,"Agendado")+COUNTIFS('Calendário'!$B$9:$B$214,$C15,'Calendário'!$M$9:$M$214,"Agendado")+COUNTIFS('Calendário'!$B$9:$B$214,$C15,'Calendário'!$N$9:$N$214,"Agendado")+COUNTIFS('Calendário'!$B$9:$B$214,$C15,'Calendário'!$O$9:$O$214,"Agendado")+COUNTIFS('Calendário'!$B$9:$B$214,$C15,'Calendário'!$J$9:$J$214,"Publicado")+COUNTIFS('Calendário'!$B$9:$B$214,$C15,'Calendário'!$K$9:$K$214,"Publicado")+COUNTIFS('Calendário'!$B$9:$B$214,$C15,'Calendário'!$M$9:$M$214,"Publicado")+COUNTIFS('Calendário'!$B$9:$B$214,$C15,'Calendário'!$N$9:$N$214,"Publicado")+COUNTIFS('Calendário'!$B$9:$B$214,$C15,'Calendário'!$O$9:$O$214,"Publicado"))&amp;" de "&amp;(5-COUNTIFS('Calendário'!$B$9:$B$214,$C15,'Calendário'!$N$9:$N$214,"Não se aplica")-COUNTIFS('Calendário'!$B$9:$B$214,$C15,'Calendário'!$O$9:$O$214,"Não se aplica"))</x:f>
        <x:v>0 de 3</x:v>
      </x:c>
      <x:c r="M15" s="87" t="str">
        <x:f>(COUNTIFS('Calendário'!$B$9:$B$214,$C15,'Calendário'!$J$9:$J$214,"Publicado")+COUNTIFS('Calendário'!$B$9:$B$214,$C15,'Calendário'!$K$9:$K$214,"Publicado")+COUNTIFS('Calendário'!$B$9:$B$214,$C15,'Calendário'!$M$9:$M$214,"Publicado")+COUNTIFS('Calendário'!$B$9:$B$214,$C15,'Calendário'!$N$9:$N$214,"Publicado")+COUNTIFS('Calendário'!$B$9:$B$214,$C15,'Calendário'!$O$9:$O$214,"Publicado"))&amp;" de "&amp;(5-COUNTIFS('Calendário'!$B$9:$B$214,$C15,'Calendário'!$N$9:$N$214,"Não se aplica")-COUNTIFS('Calendário'!$B$9:$B$214,$C15,'Calendário'!$O$9:$O$214,"Não se aplica"))</x:f>
        <x:v>0 de 3</x:v>
      </x:c>
      <x:c r="N15" s="75"/>
      <x:c r="O15" s="75"/>
      <x:c r="P15" s="61"/>
    </x:row>
    <x:row r="16" ht="57" customHeight="1">
      <x:c r="A16" s="61"/>
      <x:c r="B16" s="69" t="str">
        <x:f>TEXT(D16,"yyyy-mm")</x:f>
        <x:v>2026-09</x:v>
      </x:c>
      <x:c r="C16" s="72" t="str">
        <x:v>P08</x:v>
      </x:c>
      <x:c r="D16" s="90" t="n">
        <x:f>INDEX('Calendário'!$C$9:$C$214,MATCH($C16,'Calendário'!$B$9:$B$214,0))</x:f>
        <x:v>46291.5</x:v>
      </x:c>
      <x:c r="E16" s="69" t="str">
        <x:f>INDEX('Calendário'!$F$9:$F$214,MATCH($C16,'Calendário'!$B$9:$B$214,0))</x:f>
        <x:v>Estático</x:v>
      </x:c>
      <x:c r="F16" s="69" t="str">
        <x:f>INDEX('Calendário'!$G$9:$G$214,MATCH($C16,'Calendário'!$B$9:$B$214,0))</x:f>
        <x:v>Quem confirma a informação antes da
decisão?</x:v>
      </x:c>
      <x:c r="G16" s="78" t="str">
        <x:f>IF(INDEX('Calendário'!$P$9:$P$214,MATCH($C16,'Calendário'!$B$9:$B$214,0))="","",INDEX('Calendário'!$P$9:$P$214,MATCH($C16,'Calendário'!$B$9:$B$214,0)))</x:f>
      </x:c>
      <x:c r="H16" s="75" t="str">
        <x:v>Não iniciada</x:v>
      </x:c>
      <x:c r="I16" s="75" t="str">
        <x:v>Não se aplica</x:v>
      </x:c>
      <x:c r="J16" s="75" t="str">
        <x:v>Pendente</x:v>
      </x:c>
      <x:c r="K16" s="75" t="str">
        <x:v>Pendente</x:v>
      </x:c>
      <x:c r="L16" s="87" t="str">
        <x:f>(COUNTIFS('Calendário'!$B$9:$B$214,$C16,'Calendário'!$J$9:$J$214,"Agendado")+COUNTIFS('Calendário'!$B$9:$B$214,$C16,'Calendário'!$K$9:$K$214,"Agendado")+COUNTIFS('Calendário'!$B$9:$B$214,$C16,'Calendário'!$M$9:$M$214,"Agendado")+COUNTIFS('Calendário'!$B$9:$B$214,$C16,'Calendário'!$N$9:$N$214,"Agendado")+COUNTIFS('Calendário'!$B$9:$B$214,$C16,'Calendário'!$O$9:$O$214,"Agendado")+COUNTIFS('Calendário'!$B$9:$B$214,$C16,'Calendário'!$J$9:$J$214,"Publicado")+COUNTIFS('Calendário'!$B$9:$B$214,$C16,'Calendário'!$K$9:$K$214,"Publicado")+COUNTIFS('Calendário'!$B$9:$B$214,$C16,'Calendário'!$M$9:$M$214,"Publicado")+COUNTIFS('Calendário'!$B$9:$B$214,$C16,'Calendário'!$N$9:$N$214,"Publicado")+COUNTIFS('Calendário'!$B$9:$B$214,$C16,'Calendário'!$O$9:$O$214,"Publicado"))&amp;" de "&amp;(5-COUNTIFS('Calendário'!$B$9:$B$214,$C16,'Calendário'!$N$9:$N$214,"Não se aplica")-COUNTIFS('Calendário'!$B$9:$B$214,$C16,'Calendário'!$O$9:$O$214,"Não se aplica"))</x:f>
        <x:v>0 de 3</x:v>
      </x:c>
      <x:c r="M16" s="87" t="str">
        <x:f>(COUNTIFS('Calendário'!$B$9:$B$214,$C16,'Calendário'!$J$9:$J$214,"Publicado")+COUNTIFS('Calendário'!$B$9:$B$214,$C16,'Calendário'!$K$9:$K$214,"Publicado")+COUNTIFS('Calendário'!$B$9:$B$214,$C16,'Calendário'!$M$9:$M$214,"Publicado")+COUNTIFS('Calendário'!$B$9:$B$214,$C16,'Calendário'!$N$9:$N$214,"Publicado")+COUNTIFS('Calendário'!$B$9:$B$214,$C16,'Calendário'!$O$9:$O$214,"Publicado"))&amp;" de "&amp;(5-COUNTIFS('Calendário'!$B$9:$B$214,$C16,'Calendário'!$N$9:$N$214,"Não se aplica")-COUNTIFS('Calendário'!$B$9:$B$214,$C16,'Calendário'!$O$9:$O$214,"Não se aplica"))</x:f>
        <x:v>0 de 3</x:v>
      </x:c>
      <x:c r="N16" s="75"/>
      <x:c r="O16" s="75"/>
      <x:c r="P16" s="61"/>
    </x:row>
    <x:row r="17" ht="57" customHeight="1">
      <x:c r="A17" s="61"/>
      <x:c r="B17" s="69" t="str">
        <x:f>TEXT(D17,"yyyy-mm")</x:f>
        <x:v>2026-09</x:v>
      </x:c>
      <x:c r="C17" s="72" t="str">
        <x:v>P09</x:v>
      </x:c>
      <x:c r="D17" s="90" t="n">
        <x:f>INDEX('Calendário'!$C$9:$C$214,MATCH($C17,'Calendário'!$B$9:$B$214,0))</x:f>
        <x:v>46293.5</x:v>
      </x:c>
      <x:c r="E17" s="69" t="str">
        <x:f>INDEX('Calendário'!$F$9:$F$214,MATCH($C17,'Calendário'!$B$9:$B$214,0))</x:f>
        <x:v>Carrossel</x:v>
      </x:c>
      <x:c r="F17" s="69" t="str">
        <x:f>INDEX('Calendário'!$G$9:$G$214,MATCH($C17,'Calendário'!$B$9:$B$214,0))</x:f>
        <x:v>Como avaliar duas alternativas de
projeto.</x:v>
      </x:c>
      <x:c r="G17" s="78" t="str">
        <x:f>IF(INDEX('Calendário'!$P$9:$P$214,MATCH($C17,'Calendário'!$B$9:$B$214,0))="","",INDEX('Calendário'!$P$9:$P$214,MATCH($C17,'Calendário'!$B$9:$B$214,0)))</x:f>
      </x:c>
      <x:c r="H17" s="75" t="str">
        <x:v>Não iniciada</x:v>
      </x:c>
      <x:c r="I17" s="75" t="str">
        <x:v>Não se aplica</x:v>
      </x:c>
      <x:c r="J17" s="75" t="str">
        <x:v>Pendente</x:v>
      </x:c>
      <x:c r="K17" s="75" t="str">
        <x:v>Pendente</x:v>
      </x:c>
      <x:c r="L17" s="87" t="str">
        <x:f>(COUNTIFS('Calendário'!$B$9:$B$214,$C17,'Calendário'!$J$9:$J$214,"Agendado")+COUNTIFS('Calendário'!$B$9:$B$214,$C17,'Calendário'!$K$9:$K$214,"Agendado")+COUNTIFS('Calendário'!$B$9:$B$214,$C17,'Calendário'!$M$9:$M$214,"Agendado")+COUNTIFS('Calendário'!$B$9:$B$214,$C17,'Calendário'!$N$9:$N$214,"Agendado")+COUNTIFS('Calendário'!$B$9:$B$214,$C17,'Calendário'!$O$9:$O$214,"Agendado")+COUNTIFS('Calendário'!$B$9:$B$214,$C17,'Calendário'!$J$9:$J$214,"Publicado")+COUNTIFS('Calendário'!$B$9:$B$214,$C17,'Calendário'!$K$9:$K$214,"Publicado")+COUNTIFS('Calendário'!$B$9:$B$214,$C17,'Calendário'!$M$9:$M$214,"Publicado")+COUNTIFS('Calendário'!$B$9:$B$214,$C17,'Calendário'!$N$9:$N$214,"Publicado")+COUNTIFS('Calendário'!$B$9:$B$214,$C17,'Calendário'!$O$9:$O$214,"Publicado"))&amp;" de "&amp;(5-COUNTIFS('Calendário'!$B$9:$B$214,$C17,'Calendário'!$N$9:$N$214,"Não se aplica")-COUNTIFS('Calendário'!$B$9:$B$214,$C17,'Calendário'!$O$9:$O$214,"Não se aplica"))</x:f>
        <x:v>0 de 3</x:v>
      </x:c>
      <x:c r="M17" s="87" t="str">
        <x:f>(COUNTIFS('Calendário'!$B$9:$B$214,$C17,'Calendário'!$J$9:$J$214,"Publicado")+COUNTIFS('Calendário'!$B$9:$B$214,$C17,'Calendário'!$K$9:$K$214,"Publicado")+COUNTIFS('Calendário'!$B$9:$B$214,$C17,'Calendário'!$M$9:$M$214,"Publicado")+COUNTIFS('Calendário'!$B$9:$B$214,$C17,'Calendário'!$N$9:$N$214,"Publicado")+COUNTIFS('Calendário'!$B$9:$B$214,$C17,'Calendário'!$O$9:$O$214,"Publicado"))&amp;" de "&amp;(5-COUNTIFS('Calendário'!$B$9:$B$214,$C17,'Calendário'!$N$9:$N$214,"Não se aplica")-COUNTIFS('Calendário'!$B$9:$B$214,$C17,'Calendário'!$O$9:$O$214,"Não se aplica"))</x:f>
        <x:v>0 de 3</x:v>
      </x:c>
      <x:c r="N17" s="75"/>
      <x:c r="O17" s="75"/>
      <x:c r="P17" s="61"/>
    </x:row>
    <x:row r="18" ht="57" customHeight="1">
      <x:c r="A18" s="61"/>
      <x:c r="B18" s="69" t="str">
        <x:f>TEXT(D18,"yyyy-mm")</x:f>
        <x:v>2026-09</x:v>
      </x:c>
      <x:c r="C18" s="72" t="str">
        <x:v>P10</x:v>
      </x:c>
      <x:c r="D18" s="90" t="n">
        <x:f>INDEX('Calendário'!$C$9:$C$214,MATCH($C18,'Calendário'!$B$9:$B$214,0))</x:f>
        <x:v>46295.5</x:v>
      </x:c>
      <x:c r="E18" s="69" t="str">
        <x:f>INDEX('Calendário'!$F$9:$F$214,MATCH($C18,'Calendário'!$B$9:$B$214,0))</x:f>
        <x:v>Reel</x:v>
      </x:c>
      <x:c r="F18" s="69" t="str">
        <x:f>INDEX('Calendário'!$G$9:$G$214,MATCH($C18,'Calendário'!$B$9:$B$214,0))</x:f>
        <x:v>Como registrar uma alternativa para
retomar depois.</x:v>
      </x:c>
      <x:c r="G18" s="78" t="str">
        <x:f>IF(INDEX('Calendário'!$P$9:$P$214,MATCH($C18,'Calendário'!$B$9:$B$214,0))="","",INDEX('Calendário'!$P$9:$P$214,MATCH($C18,'Calendário'!$B$9:$B$214,0)))</x:f>
      </x:c>
      <x:c r="H18" s="75" t="str">
        <x:v>Não iniciada</x:v>
      </x:c>
      <x:c r="I18" s="75" t="str">
        <x:v>Falta gravar</x:v>
      </x:c>
      <x:c r="J18" s="75" t="str">
        <x:v>Pendente</x:v>
      </x:c>
      <x:c r="K18" s="75" t="str">
        <x:v>Pendente</x:v>
      </x:c>
      <x:c r="L18" s="87" t="str">
        <x:f>(COUNTIFS('Calendário'!$B$9:$B$214,$C18,'Calendário'!$J$9:$J$214,"Agendado")+COUNTIFS('Calendário'!$B$9:$B$214,$C18,'Calendário'!$K$9:$K$214,"Agendado")+COUNTIFS('Calendário'!$B$9:$B$214,$C18,'Calendário'!$M$9:$M$214,"Agendado")+COUNTIFS('Calendário'!$B$9:$B$214,$C18,'Calendário'!$N$9:$N$214,"Agendado")+COUNTIFS('Calendário'!$B$9:$B$214,$C18,'Calendário'!$O$9:$O$214,"Agendado")+COUNTIFS('Calendário'!$B$9:$B$214,$C18,'Calendário'!$J$9:$J$214,"Publicado")+COUNTIFS('Calendário'!$B$9:$B$214,$C18,'Calendário'!$K$9:$K$214,"Publicado")+COUNTIFS('Calendário'!$B$9:$B$214,$C18,'Calendário'!$M$9:$M$214,"Publicado")+COUNTIFS('Calendário'!$B$9:$B$214,$C18,'Calendário'!$N$9:$N$214,"Publicado")+COUNTIFS('Calendário'!$B$9:$B$214,$C18,'Calendário'!$O$9:$O$214,"Publicado"))&amp;" de "&amp;(5-COUNTIFS('Calendário'!$B$9:$B$214,$C18,'Calendário'!$N$9:$N$214,"Não se aplica")-COUNTIFS('Calendário'!$B$9:$B$214,$C18,'Calendário'!$O$9:$O$214,"Não se aplica"))</x:f>
        <x:v>0 de 5</x:v>
      </x:c>
      <x:c r="M18" s="87" t="str">
        <x:f>(COUNTIFS('Calendário'!$B$9:$B$214,$C18,'Calendário'!$J$9:$J$214,"Publicado")+COUNTIFS('Calendário'!$B$9:$B$214,$C18,'Calendário'!$K$9:$K$214,"Publicado")+COUNTIFS('Calendário'!$B$9:$B$214,$C18,'Calendário'!$M$9:$M$214,"Publicado")+COUNTIFS('Calendário'!$B$9:$B$214,$C18,'Calendário'!$N$9:$N$214,"Publicado")+COUNTIFS('Calendário'!$B$9:$B$214,$C18,'Calendário'!$O$9:$O$214,"Publicado"))&amp;" de "&amp;(5-COUNTIFS('Calendário'!$B$9:$B$214,$C18,'Calendário'!$N$9:$N$214,"Não se aplica")-COUNTIFS('Calendário'!$B$9:$B$214,$C18,'Calendário'!$O$9:$O$214,"Não se aplica"))</x:f>
        <x:v>0 de 5</x:v>
      </x:c>
      <x:c r="N18" s="75"/>
      <x:c r="O18" s="75"/>
      <x:c r="P18" s="61"/>
    </x:row>
    <x:row r="19" ht="57" customHeight="1">
      <x:c r="A19" s="61"/>
      <x:c r="B19" s="69" t="str">
        <x:f>TEXT(D19,"yyyy-mm")</x:f>
        <x:v>2026-10</x:v>
      </x:c>
      <x:c r="C19" s="72" t="str">
        <x:v>P11</x:v>
      </x:c>
      <x:c r="D19" s="90" t="n">
        <x:f>INDEX('Calendário'!$C$9:$C$214,MATCH($C19,'Calendário'!$B$9:$B$214,0))</x:f>
        <x:v>46297.5</x:v>
      </x:c>
      <x:c r="E19" s="69" t="str">
        <x:f>INDEX('Calendário'!$F$9:$F$214,MATCH($C19,'Calendário'!$B$9:$B$214,0))</x:f>
        <x:v>Carrossel</x:v>
      </x:c>
      <x:c r="F19" s="69" t="str">
        <x:f>INDEX('Calendário'!$G$9:$G$214,MATCH($C19,'Calendário'!$B$9:$B$214,0))</x:f>
        <x:v>openBIM: por que falar sobre troca de
informações?</x:v>
      </x:c>
      <x:c r="G19" s="78" t="str">
        <x:f>IF(INDEX('Calendário'!$P$9:$P$214,MATCH($C19,'Calendário'!$B$9:$B$214,0))="","",INDEX('Calendário'!$P$9:$P$214,MATCH($C19,'Calendário'!$B$9:$B$214,0)))</x:f>
      </x:c>
      <x:c r="H19" s="75" t="str">
        <x:v>Não iniciada</x:v>
      </x:c>
      <x:c r="I19" s="75" t="str">
        <x:v>Não se aplica</x:v>
      </x:c>
      <x:c r="J19" s="75" t="str">
        <x:v>Pendente</x:v>
      </x:c>
      <x:c r="K19" s="75" t="str">
        <x:v>Pendente</x:v>
      </x:c>
      <x:c r="L19" s="87" t="str">
        <x:f>(COUNTIFS('Calendário'!$B$9:$B$214,$C19,'Calendário'!$J$9:$J$214,"Agendado")+COUNTIFS('Calendário'!$B$9:$B$214,$C19,'Calendário'!$K$9:$K$214,"Agendado")+COUNTIFS('Calendário'!$B$9:$B$214,$C19,'Calendário'!$M$9:$M$214,"Agendado")+COUNTIFS('Calendário'!$B$9:$B$214,$C19,'Calendário'!$N$9:$N$214,"Agendado")+COUNTIFS('Calendário'!$B$9:$B$214,$C19,'Calendário'!$O$9:$O$214,"Agendado")+COUNTIFS('Calendário'!$B$9:$B$214,$C19,'Calendário'!$J$9:$J$214,"Publicado")+COUNTIFS('Calendário'!$B$9:$B$214,$C19,'Calendário'!$K$9:$K$214,"Publicado")+COUNTIFS('Calendário'!$B$9:$B$214,$C19,'Calendário'!$M$9:$M$214,"Publicado")+COUNTIFS('Calendário'!$B$9:$B$214,$C19,'Calendário'!$N$9:$N$214,"Publicado")+COUNTIFS('Calendário'!$B$9:$B$214,$C19,'Calendário'!$O$9:$O$214,"Publicado"))&amp;" de "&amp;(5-COUNTIFS('Calendário'!$B$9:$B$214,$C19,'Calendário'!$N$9:$N$214,"Não se aplica")-COUNTIFS('Calendário'!$B$9:$B$214,$C19,'Calendário'!$O$9:$O$214,"Não se aplica"))</x:f>
        <x:v>0 de 3</x:v>
      </x:c>
      <x:c r="M19" s="87" t="str">
        <x:f>(COUNTIFS('Calendário'!$B$9:$B$214,$C19,'Calendário'!$J$9:$J$214,"Publicado")+COUNTIFS('Calendário'!$B$9:$B$214,$C19,'Calendário'!$K$9:$K$214,"Publicado")+COUNTIFS('Calendário'!$B$9:$B$214,$C19,'Calendário'!$M$9:$M$214,"Publicado")+COUNTIFS('Calendário'!$B$9:$B$214,$C19,'Calendário'!$N$9:$N$214,"Publicado")+COUNTIFS('Calendário'!$B$9:$B$214,$C19,'Calendário'!$O$9:$O$214,"Publicado"))&amp;" de "&amp;(5-COUNTIFS('Calendário'!$B$9:$B$214,$C19,'Calendário'!$N$9:$N$214,"Não se aplica")-COUNTIFS('Calendário'!$B$9:$B$214,$C19,'Calendário'!$O$9:$O$214,"Não se aplica"))</x:f>
        <x:v>0 de 3</x:v>
      </x:c>
      <x:c r="N19" s="75"/>
      <x:c r="O19" s="75"/>
      <x:c r="P19" s="61"/>
    </x:row>
    <x:row r="20" ht="57" customHeight="1">
      <x:c r="A20" s="61"/>
      <x:c r="B20" s="69" t="str">
        <x:f>TEXT(D20,"yyyy-mm")</x:f>
        <x:v>2026-10</x:v>
      </x:c>
      <x:c r="C20" s="72" t="str">
        <x:v>P12</x:v>
      </x:c>
      <x:c r="D20" s="90" t="n">
        <x:f>INDEX('Calendário'!$C$9:$C$214,MATCH($C20,'Calendário'!$B$9:$B$214,0))</x:f>
        <x:v>46298.5</x:v>
      </x:c>
      <x:c r="E20" s="69" t="str">
        <x:f>INDEX('Calendário'!$F$9:$F$214,MATCH($C20,'Calendário'!$B$9:$B$214,0))</x:f>
        <x:v>Estático</x:v>
      </x:c>
      <x:c r="F20" s="69" t="str">
        <x:f>INDEX('Calendário'!$G$9:$G$214,MATCH($C20,'Calendário'!$B$9:$B$214,0))</x:f>
        <x:v>Três perguntas que revelam falta de
contexto.</x:v>
      </x:c>
      <x:c r="G20" s="78" t="str">
        <x:f>IF(INDEX('Calendário'!$P$9:$P$214,MATCH($C20,'Calendário'!$B$9:$B$214,0))="","",INDEX('Calendário'!$P$9:$P$214,MATCH($C20,'Calendário'!$B$9:$B$214,0)))</x:f>
      </x:c>
      <x:c r="H20" s="75" t="str">
        <x:v>Não iniciada</x:v>
      </x:c>
      <x:c r="I20" s="75" t="str">
        <x:v>Não se aplica</x:v>
      </x:c>
      <x:c r="J20" s="75" t="str">
        <x:v>Pendente</x:v>
      </x:c>
      <x:c r="K20" s="75" t="str">
        <x:v>Pendente</x:v>
      </x:c>
      <x:c r="L20" s="87" t="str">
        <x:f>(COUNTIFS('Calendário'!$B$9:$B$214,$C20,'Calendário'!$J$9:$J$214,"Agendado")+COUNTIFS('Calendário'!$B$9:$B$214,$C20,'Calendário'!$K$9:$K$214,"Agendado")+COUNTIFS('Calendário'!$B$9:$B$214,$C20,'Calendário'!$M$9:$M$214,"Agendado")+COUNTIFS('Calendário'!$B$9:$B$214,$C20,'Calendário'!$N$9:$N$214,"Agendado")+COUNTIFS('Calendário'!$B$9:$B$214,$C20,'Calendário'!$O$9:$O$214,"Agendado")+COUNTIFS('Calendário'!$B$9:$B$214,$C20,'Calendário'!$J$9:$J$214,"Publicado")+COUNTIFS('Calendário'!$B$9:$B$214,$C20,'Calendário'!$K$9:$K$214,"Publicado")+COUNTIFS('Calendário'!$B$9:$B$214,$C20,'Calendário'!$M$9:$M$214,"Publicado")+COUNTIFS('Calendário'!$B$9:$B$214,$C20,'Calendário'!$N$9:$N$214,"Publicado")+COUNTIFS('Calendário'!$B$9:$B$214,$C20,'Calendário'!$O$9:$O$214,"Publicado"))&amp;" de "&amp;(5-COUNTIFS('Calendário'!$B$9:$B$214,$C20,'Calendário'!$N$9:$N$214,"Não se aplica")-COUNTIFS('Calendário'!$B$9:$B$214,$C20,'Calendário'!$O$9:$O$214,"Não se aplica"))</x:f>
        <x:v>0 de 3</x:v>
      </x:c>
      <x:c r="M20" s="87" t="str">
        <x:f>(COUNTIFS('Calendário'!$B$9:$B$214,$C20,'Calendário'!$J$9:$J$214,"Publicado")+COUNTIFS('Calendário'!$B$9:$B$214,$C20,'Calendário'!$K$9:$K$214,"Publicado")+COUNTIFS('Calendário'!$B$9:$B$214,$C20,'Calendário'!$M$9:$M$214,"Publicado")+COUNTIFS('Calendário'!$B$9:$B$214,$C20,'Calendário'!$N$9:$N$214,"Publicado")+COUNTIFS('Calendário'!$B$9:$B$214,$C20,'Calendário'!$O$9:$O$214,"Publicado"))&amp;" de "&amp;(5-COUNTIFS('Calendário'!$B$9:$B$214,$C20,'Calendário'!$N$9:$N$214,"Não se aplica")-COUNTIFS('Calendário'!$B$9:$B$214,$C20,'Calendário'!$O$9:$O$214,"Não se aplica"))</x:f>
        <x:v>0 de 3</x:v>
      </x:c>
      <x:c r="N20" s="75"/>
      <x:c r="O20" s="75"/>
      <x:c r="P20" s="61"/>
    </x:row>
    <x:row r="21" ht="57" customHeight="1">
      <x:c r="A21" s="61"/>
      <x:c r="B21" s="69" t="str">
        <x:f>TEXT(D21,"yyyy-mm")</x:f>
        <x:v>2026-10</x:v>
      </x:c>
      <x:c r="C21" s="72" t="str">
        <x:v>P13</x:v>
      </x:c>
      <x:c r="D21" s="90" t="n">
        <x:f>INDEX('Calendário'!$C$9:$C$214,MATCH($C21,'Calendário'!$B$9:$B$214,0))</x:f>
        <x:v>46300.5</x:v>
      </x:c>
      <x:c r="E21" s="69" t="str">
        <x:f>INDEX('Calendário'!$F$9:$F$214,MATCH($C21,'Calendário'!$B$9:$B$214,0))</x:f>
        <x:v>Carrossel</x:v>
      </x:c>
      <x:c r="F21" s="69" t="str">
        <x:f>INDEX('Calendário'!$G$9:$G$214,MATCH($C21,'Calendário'!$B$9:$B$214,0))</x:f>
        <x:v>Comece por uma pergunta do seu projeto.</x:v>
      </x:c>
      <x:c r="G21" s="78" t="str">
        <x:f>IF(INDEX('Calendário'!$P$9:$P$214,MATCH($C21,'Calendário'!$B$9:$B$214,0))="","",INDEX('Calendário'!$P$9:$P$214,MATCH($C21,'Calendário'!$B$9:$B$214,0)))</x:f>
      </x:c>
      <x:c r="H21" s="75" t="str">
        <x:v>Não iniciada</x:v>
      </x:c>
      <x:c r="I21" s="75" t="str">
        <x:v>Não se aplica</x:v>
      </x:c>
      <x:c r="J21" s="75" t="str">
        <x:v>Pendente</x:v>
      </x:c>
      <x:c r="K21" s="75" t="str">
        <x:v>Pendente</x:v>
      </x:c>
      <x:c r="L21" s="87" t="str">
        <x:f>(COUNTIFS('Calendário'!$B$9:$B$214,$C21,'Calendário'!$J$9:$J$214,"Agendado")+COUNTIFS('Calendário'!$B$9:$B$214,$C21,'Calendário'!$K$9:$K$214,"Agendado")+COUNTIFS('Calendário'!$B$9:$B$214,$C21,'Calendário'!$M$9:$M$214,"Agendado")+COUNTIFS('Calendário'!$B$9:$B$214,$C21,'Calendário'!$N$9:$N$214,"Agendado")+COUNTIFS('Calendário'!$B$9:$B$214,$C21,'Calendário'!$O$9:$O$214,"Agendado")+COUNTIFS('Calendário'!$B$9:$B$214,$C21,'Calendário'!$J$9:$J$214,"Publicado")+COUNTIFS('Calendário'!$B$9:$B$214,$C21,'Calendário'!$K$9:$K$214,"Publicado")+COUNTIFS('Calendário'!$B$9:$B$214,$C21,'Calendário'!$M$9:$M$214,"Publicado")+COUNTIFS('Calendário'!$B$9:$B$214,$C21,'Calendário'!$N$9:$N$214,"Publicado")+COUNTIFS('Calendário'!$B$9:$B$214,$C21,'Calendário'!$O$9:$O$214,"Publicado"))&amp;" de "&amp;(5-COUNTIFS('Calendário'!$B$9:$B$214,$C21,'Calendário'!$N$9:$N$214,"Não se aplica")-COUNTIFS('Calendário'!$B$9:$B$214,$C21,'Calendário'!$O$9:$O$214,"Não se aplica"))</x:f>
        <x:v>0 de 3</x:v>
      </x:c>
      <x:c r="M21" s="87" t="str">
        <x:f>(COUNTIFS('Calendário'!$B$9:$B$214,$C21,'Calendário'!$J$9:$J$214,"Publicado")+COUNTIFS('Calendário'!$B$9:$B$214,$C21,'Calendário'!$K$9:$K$214,"Publicado")+COUNTIFS('Calendário'!$B$9:$B$214,$C21,'Calendário'!$M$9:$M$214,"Publicado")+COUNTIFS('Calendário'!$B$9:$B$214,$C21,'Calendário'!$N$9:$N$214,"Publicado")+COUNTIFS('Calendário'!$B$9:$B$214,$C21,'Calendário'!$O$9:$O$214,"Publicado"))&amp;" de "&amp;(5-COUNTIFS('Calendário'!$B$9:$B$214,$C21,'Calendário'!$N$9:$N$214,"Não se aplica")-COUNTIFS('Calendário'!$B$9:$B$214,$C21,'Calendário'!$O$9:$O$214,"Não se aplica"))</x:f>
        <x:v>0 de 3</x:v>
      </x:c>
      <x:c r="N21" s="75"/>
      <x:c r="O21" s="75"/>
      <x:c r="P21" s="61"/>
    </x:row>
    <x:row r="22" ht="57" customHeight="1">
      <x:c r="A22" s="61"/>
      <x:c r="B22" s="69" t="str">
        <x:f>TEXT(D22,"yyyy-mm")</x:f>
        <x:v>2026-10</x:v>
      </x:c>
      <x:c r="C22" s="72" t="str">
        <x:v>P14</x:v>
      </x:c>
      <x:c r="D22" s="90" t="n">
        <x:f>INDEX('Calendário'!$C$9:$C$214,MATCH($C22,'Calendário'!$B$9:$B$214,0))</x:f>
        <x:v>46302.5</x:v>
      </x:c>
      <x:c r="E22" s="69" t="str">
        <x:f>INDEX('Calendário'!$F$9:$F$214,MATCH($C22,'Calendário'!$B$9:$B$214,0))</x:f>
        <x:v>Reel</x:v>
      </x:c>
      <x:c r="F22" s="69" t="str">
        <x:f>INDEX('Calendário'!$G$9:$G$214,MATCH($C22,'Calendário'!$B$9:$B$214,0))</x:f>
        <x:v>Uma dúvida da rotina: por onde começar a
análise?</x:v>
      </x:c>
      <x:c r="G22" s="78" t="str">
        <x:f>IF(INDEX('Calendário'!$P$9:$P$214,MATCH($C22,'Calendário'!$B$9:$B$214,0))="","",INDEX('Calendário'!$P$9:$P$214,MATCH($C22,'Calendário'!$B$9:$B$214,0)))</x:f>
      </x:c>
      <x:c r="H22" s="75" t="str">
        <x:v>Não iniciada</x:v>
      </x:c>
      <x:c r="I22" s="75" t="str">
        <x:v>Não iniciado</x:v>
      </x:c>
      <x:c r="J22" s="75" t="str">
        <x:v>Pendente</x:v>
      </x:c>
      <x:c r="K22" s="75" t="str">
        <x:v>Pendente</x:v>
      </x:c>
      <x:c r="L22" s="87" t="str">
        <x:f>(COUNTIFS('Calendário'!$B$9:$B$214,$C22,'Calendário'!$J$9:$J$214,"Agendado")+COUNTIFS('Calendário'!$B$9:$B$214,$C22,'Calendário'!$K$9:$K$214,"Agendado")+COUNTIFS('Calendário'!$B$9:$B$214,$C22,'Calendário'!$M$9:$M$214,"Agendado")+COUNTIFS('Calendário'!$B$9:$B$214,$C22,'Calendário'!$N$9:$N$214,"Agendado")+COUNTIFS('Calendário'!$B$9:$B$214,$C22,'Calendário'!$O$9:$O$214,"Agendado")+COUNTIFS('Calendário'!$B$9:$B$214,$C22,'Calendário'!$J$9:$J$214,"Publicado")+COUNTIFS('Calendário'!$B$9:$B$214,$C22,'Calendário'!$K$9:$K$214,"Publicado")+COUNTIFS('Calendário'!$B$9:$B$214,$C22,'Calendário'!$M$9:$M$214,"Publicado")+COUNTIFS('Calendário'!$B$9:$B$214,$C22,'Calendário'!$N$9:$N$214,"Publicado")+COUNTIFS('Calendário'!$B$9:$B$214,$C22,'Calendário'!$O$9:$O$214,"Publicado"))&amp;" de "&amp;(5-COUNTIFS('Calendário'!$B$9:$B$214,$C22,'Calendário'!$N$9:$N$214,"Não se aplica")-COUNTIFS('Calendário'!$B$9:$B$214,$C22,'Calendário'!$O$9:$O$214,"Não se aplica"))</x:f>
        <x:v>0 de 5</x:v>
      </x:c>
      <x:c r="M22" s="87" t="str">
        <x:f>(COUNTIFS('Calendário'!$B$9:$B$214,$C22,'Calendário'!$J$9:$J$214,"Publicado")+COUNTIFS('Calendário'!$B$9:$B$214,$C22,'Calendário'!$K$9:$K$214,"Publicado")+COUNTIFS('Calendário'!$B$9:$B$214,$C22,'Calendário'!$M$9:$M$214,"Publicado")+COUNTIFS('Calendário'!$B$9:$B$214,$C22,'Calendário'!$N$9:$N$214,"Publicado")+COUNTIFS('Calendário'!$B$9:$B$214,$C22,'Calendário'!$O$9:$O$214,"Publicado"))&amp;" de "&amp;(5-COUNTIFS('Calendário'!$B$9:$B$214,$C22,'Calendário'!$N$9:$N$214,"Não se aplica")-COUNTIFS('Calendário'!$B$9:$B$214,$C22,'Calendário'!$O$9:$O$214,"Não se aplica"))</x:f>
        <x:v>0 de 5</x:v>
      </x:c>
      <x:c r="N22" s="75"/>
      <x:c r="O22" s="75"/>
      <x:c r="P22" s="61"/>
    </x:row>
    <x:row r="23" ht="57" customHeight="1">
      <x:c r="A23" s="61"/>
      <x:c r="B23" s="69" t="str">
        <x:f>TEXT(D23,"yyyy-mm")</x:f>
        <x:v>2026-10</x:v>
      </x:c>
      <x:c r="C23" s="72" t="str">
        <x:v>P15</x:v>
      </x:c>
      <x:c r="D23" s="90" t="n">
        <x:f>INDEX('Calendário'!$C$9:$C$214,MATCH($C23,'Calendário'!$B$9:$B$214,0))</x:f>
        <x:v>46304.5</x:v>
      </x:c>
      <x:c r="E23" s="69" t="str">
        <x:f>INDEX('Calendário'!$F$9:$F$214,MATCH($C23,'Calendário'!$B$9:$B$214,0))</x:f>
        <x:v>Carrossel</x:v>
      </x:c>
      <x:c r="F23" s="69" t="str">
        <x:f>INDEX('Calendário'!$G$9:$G$214,MATCH($C23,'Calendário'!$B$9:$B$214,0))</x:f>
        <x:v>Como avaliar uma ferramenta BIM para sua
equipe.</x:v>
      </x:c>
      <x:c r="G23" s="78" t="str">
        <x:f>IF(INDEX('Calendário'!$P$9:$P$214,MATCH($C23,'Calendário'!$B$9:$B$214,0))="","",INDEX('Calendário'!$P$9:$P$214,MATCH($C23,'Calendário'!$B$9:$B$214,0)))</x:f>
      </x:c>
      <x:c r="H23" s="75" t="str">
        <x:v>Não iniciada</x:v>
      </x:c>
      <x:c r="I23" s="75" t="str">
        <x:v>Não se aplica</x:v>
      </x:c>
      <x:c r="J23" s="75" t="str">
        <x:v>Pendente</x:v>
      </x:c>
      <x:c r="K23" s="75" t="str">
        <x:v>Pendente</x:v>
      </x:c>
      <x:c r="L23" s="87" t="str">
        <x:f>(COUNTIFS('Calendário'!$B$9:$B$214,$C23,'Calendário'!$J$9:$J$214,"Agendado")+COUNTIFS('Calendário'!$B$9:$B$214,$C23,'Calendário'!$K$9:$K$214,"Agendado")+COUNTIFS('Calendário'!$B$9:$B$214,$C23,'Calendário'!$M$9:$M$214,"Agendado")+COUNTIFS('Calendário'!$B$9:$B$214,$C23,'Calendário'!$N$9:$N$214,"Agendado")+COUNTIFS('Calendário'!$B$9:$B$214,$C23,'Calendário'!$O$9:$O$214,"Agendado")+COUNTIFS('Calendário'!$B$9:$B$214,$C23,'Calendário'!$J$9:$J$214,"Publicado")+COUNTIFS('Calendário'!$B$9:$B$214,$C23,'Calendário'!$K$9:$K$214,"Publicado")+COUNTIFS('Calendário'!$B$9:$B$214,$C23,'Calendário'!$M$9:$M$214,"Publicado")+COUNTIFS('Calendário'!$B$9:$B$214,$C23,'Calendário'!$N$9:$N$214,"Publicado")+COUNTIFS('Calendário'!$B$9:$B$214,$C23,'Calendário'!$O$9:$O$214,"Publicado"))&amp;" de "&amp;(5-COUNTIFS('Calendário'!$B$9:$B$214,$C23,'Calendário'!$N$9:$N$214,"Não se aplica")-COUNTIFS('Calendário'!$B$9:$B$214,$C23,'Calendário'!$O$9:$O$214,"Não se aplica"))</x:f>
        <x:v>0 de 3</x:v>
      </x:c>
      <x:c r="M23" s="87" t="str">
        <x:f>(COUNTIFS('Calendário'!$B$9:$B$214,$C23,'Calendário'!$J$9:$J$214,"Publicado")+COUNTIFS('Calendário'!$B$9:$B$214,$C23,'Calendário'!$K$9:$K$214,"Publicado")+COUNTIFS('Calendário'!$B$9:$B$214,$C23,'Calendário'!$M$9:$M$214,"Publicado")+COUNTIFS('Calendário'!$B$9:$B$214,$C23,'Calendário'!$N$9:$N$214,"Publicado")+COUNTIFS('Calendário'!$B$9:$B$214,$C23,'Calendário'!$O$9:$O$214,"Publicado"))&amp;" de "&amp;(5-COUNTIFS('Calendário'!$B$9:$B$214,$C23,'Calendário'!$N$9:$N$214,"Não se aplica")-COUNTIFS('Calendário'!$B$9:$B$214,$C23,'Calendário'!$O$9:$O$214,"Não se aplica"))</x:f>
        <x:v>0 de 3</x:v>
      </x:c>
      <x:c r="N23" s="75"/>
      <x:c r="O23" s="75"/>
      <x:c r="P23" s="61"/>
    </x:row>
    <x:row r="24" ht="57" customHeight="1">
      <x:c r="A24" s="61"/>
      <x:c r="B24" s="69" t="str">
        <x:f>TEXT(D24,"yyyy-mm")</x:f>
        <x:v>2026-10</x:v>
      </x:c>
      <x:c r="C24" s="72" t="str">
        <x:v>P16</x:v>
      </x:c>
      <x:c r="D24" s="90" t="n">
        <x:f>INDEX('Calendário'!$C$9:$C$214,MATCH($C24,'Calendário'!$B$9:$B$214,0))</x:f>
        <x:v>46305.5</x:v>
      </x:c>
      <x:c r="E24" s="69" t="str">
        <x:f>INDEX('Calendário'!$F$9:$F$214,MATCH($C24,'Calendário'!$B$9:$B$214,0))</x:f>
        <x:v>Estático</x:v>
      </x:c>
      <x:c r="F24" s="69" t="str">
        <x:f>INDEX('Calendário'!$G$9:$G$214,MATCH($C24,'Calendário'!$B$9:$B$214,0))</x:f>
        <x:v>Vamos conversar sobre o seu próximo
projeto?</x:v>
      </x:c>
      <x:c r="G24" s="78" t="str">
        <x:f>IF(INDEX('Calendário'!$P$9:$P$214,MATCH($C24,'Calendário'!$B$9:$B$214,0))="","",INDEX('Calendário'!$P$9:$P$214,MATCH($C24,'Calendário'!$B$9:$B$214,0)))</x:f>
      </x:c>
      <x:c r="H24" s="75" t="str">
        <x:v>Não iniciada</x:v>
      </x:c>
      <x:c r="I24" s="75" t="str">
        <x:v>Não se aplica</x:v>
      </x:c>
      <x:c r="J24" s="75" t="str">
        <x:v>Pendente</x:v>
      </x:c>
      <x:c r="K24" s="75" t="str">
        <x:v>Pendente</x:v>
      </x:c>
      <x:c r="L24" s="87" t="str">
        <x:f>(COUNTIFS('Calendário'!$B$9:$B$214,$C24,'Calendário'!$J$9:$J$214,"Agendado")+COUNTIFS('Calendário'!$B$9:$B$214,$C24,'Calendário'!$K$9:$K$214,"Agendado")+COUNTIFS('Calendário'!$B$9:$B$214,$C24,'Calendário'!$M$9:$M$214,"Agendado")+COUNTIFS('Calendário'!$B$9:$B$214,$C24,'Calendário'!$N$9:$N$214,"Agendado")+COUNTIFS('Calendário'!$B$9:$B$214,$C24,'Calendário'!$O$9:$O$214,"Agendado")+COUNTIFS('Calendário'!$B$9:$B$214,$C24,'Calendário'!$J$9:$J$214,"Publicado")+COUNTIFS('Calendário'!$B$9:$B$214,$C24,'Calendário'!$K$9:$K$214,"Publicado")+COUNTIFS('Calendário'!$B$9:$B$214,$C24,'Calendário'!$M$9:$M$214,"Publicado")+COUNTIFS('Calendário'!$B$9:$B$214,$C24,'Calendário'!$N$9:$N$214,"Publicado")+COUNTIFS('Calendário'!$B$9:$B$214,$C24,'Calendário'!$O$9:$O$214,"Publicado"))&amp;" de "&amp;(5-COUNTIFS('Calendário'!$B$9:$B$214,$C24,'Calendário'!$N$9:$N$214,"Não se aplica")-COUNTIFS('Calendário'!$B$9:$B$214,$C24,'Calendário'!$O$9:$O$214,"Não se aplica"))</x:f>
        <x:v>0 de 3</x:v>
      </x:c>
      <x:c r="M24" s="87" t="str">
        <x:f>(COUNTIFS('Calendário'!$B$9:$B$214,$C24,'Calendário'!$J$9:$J$214,"Publicado")+COUNTIFS('Calendário'!$B$9:$B$214,$C24,'Calendário'!$K$9:$K$214,"Publicado")+COUNTIFS('Calendário'!$B$9:$B$214,$C24,'Calendário'!$M$9:$M$214,"Publicado")+COUNTIFS('Calendário'!$B$9:$B$214,$C24,'Calendário'!$N$9:$N$214,"Publicado")+COUNTIFS('Calendário'!$B$9:$B$214,$C24,'Calendário'!$O$9:$O$214,"Publicado"))&amp;" de "&amp;(5-COUNTIFS('Calendário'!$B$9:$B$214,$C24,'Calendário'!$N$9:$N$214,"Não se aplica")-COUNTIFS('Calendário'!$B$9:$B$214,$C24,'Calendário'!$O$9:$O$214,"Não se aplica"))</x:f>
        <x:v>0 de 3</x:v>
      </x:c>
      <x:c r="N24" s="75"/>
      <x:c r="O24" s="75"/>
      <x:c r="P24" s="61"/>
    </x:row>
    <x:row r="25" ht="57" customHeight="1">
      <x:c r="A25" s="61"/>
      <x:c r="B25" s="69" t="str">
        <x:f>TEXT(D25,"yyyy-mm")</x:f>
        <x:v>2026-10</x:v>
      </x:c>
      <x:c r="C25" s="72" t="str">
        <x:v>P17</x:v>
      </x:c>
      <x:c r="D25" s="90" t="n">
        <x:f>INDEX('Calendário'!$C$9:$C$214,MATCH($C25,'Calendário'!$B$9:$B$214,0))</x:f>
        <x:v>46307.5</x:v>
      </x:c>
      <x:c r="E25" s="69" t="str">
        <x:f>INDEX('Calendário'!$F$9:$F$214,MATCH($C25,'Calendário'!$B$9:$B$214,0))</x:f>
        <x:v>Carrossel</x:v>
      </x:c>
      <x:c r="F25" s="69" t="str">
        <x:f>INDEX('Calendário'!$G$9:$G$214,MATCH($C25,'Calendário'!$B$9:$B$214,0))</x:f>
        <x:v>O que conferir na ficha de um elemento?</x:v>
      </x:c>
      <x:c r="G25" s="78" t="str">
        <x:f>IF(INDEX('Calendário'!$P$9:$P$214,MATCH($C25,'Calendário'!$B$9:$B$214,0))="","",INDEX('Calendário'!$P$9:$P$214,MATCH($C25,'Calendário'!$B$9:$B$214,0)))</x:f>
      </x:c>
      <x:c r="H25" s="75" t="str">
        <x:v>Não iniciada</x:v>
      </x:c>
      <x:c r="I25" s="75" t="str">
        <x:v>Não se aplica</x:v>
      </x:c>
      <x:c r="J25" s="75" t="str">
        <x:v>Pendente</x:v>
      </x:c>
      <x:c r="K25" s="75" t="str">
        <x:v>Pendente</x:v>
      </x:c>
      <x:c r="L25" s="87" t="str">
        <x:f>(COUNTIFS('Calendário'!$B$9:$B$214,$C25,'Calendário'!$J$9:$J$214,"Agendado")+COUNTIFS('Calendário'!$B$9:$B$214,$C25,'Calendário'!$K$9:$K$214,"Agendado")+COUNTIFS('Calendário'!$B$9:$B$214,$C25,'Calendário'!$M$9:$M$214,"Agendado")+COUNTIFS('Calendário'!$B$9:$B$214,$C25,'Calendário'!$N$9:$N$214,"Agendado")+COUNTIFS('Calendário'!$B$9:$B$214,$C25,'Calendário'!$O$9:$O$214,"Agendado")+COUNTIFS('Calendário'!$B$9:$B$214,$C25,'Calendário'!$J$9:$J$214,"Publicado")+COUNTIFS('Calendário'!$B$9:$B$214,$C25,'Calendário'!$K$9:$K$214,"Publicado")+COUNTIFS('Calendário'!$B$9:$B$214,$C25,'Calendário'!$M$9:$M$214,"Publicado")+COUNTIFS('Calendário'!$B$9:$B$214,$C25,'Calendário'!$N$9:$N$214,"Publicado")+COUNTIFS('Calendário'!$B$9:$B$214,$C25,'Calendário'!$O$9:$O$214,"Publicado"))&amp;" de "&amp;(5-COUNTIFS('Calendário'!$B$9:$B$214,$C25,'Calendário'!$N$9:$N$214,"Não se aplica")-COUNTIFS('Calendário'!$B$9:$B$214,$C25,'Calendário'!$O$9:$O$214,"Não se aplica"))</x:f>
        <x:v>0 de 3</x:v>
      </x:c>
      <x:c r="M25" s="87" t="str">
        <x:f>(COUNTIFS('Calendário'!$B$9:$B$214,$C25,'Calendário'!$J$9:$J$214,"Publicado")+COUNTIFS('Calendário'!$B$9:$B$214,$C25,'Calendário'!$K$9:$K$214,"Publicado")+COUNTIFS('Calendário'!$B$9:$B$214,$C25,'Calendário'!$M$9:$M$214,"Publicado")+COUNTIFS('Calendário'!$B$9:$B$214,$C25,'Calendário'!$N$9:$N$214,"Publicado")+COUNTIFS('Calendário'!$B$9:$B$214,$C25,'Calendário'!$O$9:$O$214,"Publicado"))&amp;" de "&amp;(5-COUNTIFS('Calendário'!$B$9:$B$214,$C25,'Calendário'!$N$9:$N$214,"Não se aplica")-COUNTIFS('Calendário'!$B$9:$B$214,$C25,'Calendário'!$O$9:$O$214,"Não se aplica"))</x:f>
        <x:v>0 de 3</x:v>
      </x:c>
      <x:c r="N25" s="75"/>
      <x:c r="O25" s="75"/>
      <x:c r="P25" s="61"/>
    </x:row>
    <x:row r="26" ht="57" customHeight="1">
      <x:c r="A26" s="61"/>
      <x:c r="B26" s="69" t="str">
        <x:f>TEXT(D26,"yyyy-mm")</x:f>
        <x:v>2026-10</x:v>
      </x:c>
      <x:c r="C26" s="72" t="str">
        <x:v>P18</x:v>
      </x:c>
      <x:c r="D26" s="90" t="n">
        <x:f>INDEX('Calendário'!$C$9:$C$214,MATCH($C26,'Calendário'!$B$9:$B$214,0))</x:f>
        <x:v>46309.5</x:v>
      </x:c>
      <x:c r="E26" s="69" t="str">
        <x:f>INDEX('Calendário'!$F$9:$F$214,MATCH($C26,'Calendário'!$B$9:$B$214,0))</x:f>
        <x:v>Reel</x:v>
      </x:c>
      <x:c r="F26" s="69" t="str">
        <x:f>INDEX('Calendário'!$G$9:$G$214,MATCH($C26,'Calendário'!$B$9:$B$214,0))</x:f>
        <x:v>Exemplo prático: propriedades dos
elementos.</x:v>
      </x:c>
      <x:c r="G26" s="78" t="str">
        <x:f>IF(INDEX('Calendário'!$P$9:$P$214,MATCH($C26,'Calendário'!$B$9:$B$214,0))="","",INDEX('Calendário'!$P$9:$P$214,MATCH($C26,'Calendário'!$B$9:$B$214,0)))</x:f>
      </x:c>
      <x:c r="H26" s="75" t="str">
        <x:v>Não iniciada</x:v>
      </x:c>
      <x:c r="I26" s="75" t="str">
        <x:v>Não iniciado</x:v>
      </x:c>
      <x:c r="J26" s="75" t="str">
        <x:v>Pendente</x:v>
      </x:c>
      <x:c r="K26" s="75" t="str">
        <x:v>Pendente</x:v>
      </x:c>
      <x:c r="L26" s="87" t="str">
        <x:f>(COUNTIFS('Calendário'!$B$9:$B$214,$C26,'Calendário'!$J$9:$J$214,"Agendado")+COUNTIFS('Calendário'!$B$9:$B$214,$C26,'Calendário'!$K$9:$K$214,"Agendado")+COUNTIFS('Calendário'!$B$9:$B$214,$C26,'Calendário'!$M$9:$M$214,"Agendado")+COUNTIFS('Calendário'!$B$9:$B$214,$C26,'Calendário'!$N$9:$N$214,"Agendado")+COUNTIFS('Calendário'!$B$9:$B$214,$C26,'Calendário'!$O$9:$O$214,"Agendado")+COUNTIFS('Calendário'!$B$9:$B$214,$C26,'Calendário'!$J$9:$J$214,"Publicado")+COUNTIFS('Calendário'!$B$9:$B$214,$C26,'Calendário'!$K$9:$K$214,"Publicado")+COUNTIFS('Calendário'!$B$9:$B$214,$C26,'Calendário'!$M$9:$M$214,"Publicado")+COUNTIFS('Calendário'!$B$9:$B$214,$C26,'Calendário'!$N$9:$N$214,"Publicado")+COUNTIFS('Calendário'!$B$9:$B$214,$C26,'Calendário'!$O$9:$O$214,"Publicado"))&amp;" de "&amp;(5-COUNTIFS('Calendário'!$B$9:$B$214,$C26,'Calendário'!$N$9:$N$214,"Não se aplica")-COUNTIFS('Calendário'!$B$9:$B$214,$C26,'Calendário'!$O$9:$O$214,"Não se aplica"))</x:f>
        <x:v>0 de 5</x:v>
      </x:c>
      <x:c r="M26" s="87" t="str">
        <x:f>(COUNTIFS('Calendário'!$B$9:$B$214,$C26,'Calendário'!$J$9:$J$214,"Publicado")+COUNTIFS('Calendário'!$B$9:$B$214,$C26,'Calendário'!$K$9:$K$214,"Publicado")+COUNTIFS('Calendário'!$B$9:$B$214,$C26,'Calendário'!$M$9:$M$214,"Publicado")+COUNTIFS('Calendário'!$B$9:$B$214,$C26,'Calendário'!$N$9:$N$214,"Publicado")+COUNTIFS('Calendário'!$B$9:$B$214,$C26,'Calendário'!$O$9:$O$214,"Publicado"))&amp;" de "&amp;(5-COUNTIFS('Calendário'!$B$9:$B$214,$C26,'Calendário'!$N$9:$N$214,"Não se aplica")-COUNTIFS('Calendário'!$B$9:$B$214,$C26,'Calendário'!$O$9:$O$214,"Não se aplica"))</x:f>
        <x:v>0 de 5</x:v>
      </x:c>
      <x:c r="N26" s="75"/>
      <x:c r="O26" s="75"/>
      <x:c r="P26" s="61"/>
    </x:row>
    <x:row r="27" ht="57" customHeight="1">
      <x:c r="A27" s="61"/>
      <x:c r="B27" s="69" t="str">
        <x:f>TEXT(D27,"yyyy-mm")</x:f>
        <x:v>2026-10</x:v>
      </x:c>
      <x:c r="C27" s="72" t="str">
        <x:v>P19</x:v>
      </x:c>
      <x:c r="D27" s="90" t="n">
        <x:f>INDEX('Calendário'!$C$9:$C$214,MATCH($C27,'Calendário'!$B$9:$B$214,0))</x:f>
        <x:v>46311.5</x:v>
      </x:c>
      <x:c r="E27" s="69" t="str">
        <x:f>INDEX('Calendário'!$F$9:$F$214,MATCH($C27,'Calendário'!$B$9:$B$214,0))</x:f>
        <x:v>Carrossel</x:v>
      </x:c>
      <x:c r="F27" s="69" t="str">
        <x:f>INDEX('Calendário'!$G$9:$G$214,MATCH($C27,'Calendário'!$B$9:$B$214,0))</x:f>
        <x:v>Checklist: propriedades dos elementos.</x:v>
      </x:c>
      <x:c r="G27" s="78" t="str">
        <x:f>IF(INDEX('Calendário'!$P$9:$P$214,MATCH($C27,'Calendário'!$B$9:$B$214,0))="","",INDEX('Calendário'!$P$9:$P$214,MATCH($C27,'Calendário'!$B$9:$B$214,0)))</x:f>
      </x:c>
      <x:c r="H27" s="75" t="str">
        <x:v>Não iniciada</x:v>
      </x:c>
      <x:c r="I27" s="75" t="str">
        <x:v>Não se aplica</x:v>
      </x:c>
      <x:c r="J27" s="75" t="str">
        <x:v>Pendente</x:v>
      </x:c>
      <x:c r="K27" s="75" t="str">
        <x:v>Pendente</x:v>
      </x:c>
      <x:c r="L27" s="87" t="str">
        <x:f>(COUNTIFS('Calendário'!$B$9:$B$214,$C27,'Calendário'!$J$9:$J$214,"Agendado")+COUNTIFS('Calendário'!$B$9:$B$214,$C27,'Calendário'!$K$9:$K$214,"Agendado")+COUNTIFS('Calendário'!$B$9:$B$214,$C27,'Calendário'!$M$9:$M$214,"Agendado")+COUNTIFS('Calendário'!$B$9:$B$214,$C27,'Calendário'!$N$9:$N$214,"Agendado")+COUNTIFS('Calendário'!$B$9:$B$214,$C27,'Calendário'!$O$9:$O$214,"Agendado")+COUNTIFS('Calendário'!$B$9:$B$214,$C27,'Calendário'!$J$9:$J$214,"Publicado")+COUNTIFS('Calendário'!$B$9:$B$214,$C27,'Calendário'!$K$9:$K$214,"Publicado")+COUNTIFS('Calendário'!$B$9:$B$214,$C27,'Calendário'!$M$9:$M$214,"Publicado")+COUNTIFS('Calendário'!$B$9:$B$214,$C27,'Calendário'!$N$9:$N$214,"Publicado")+COUNTIFS('Calendário'!$B$9:$B$214,$C27,'Calendário'!$O$9:$O$214,"Publicado"))&amp;" de "&amp;(5-COUNTIFS('Calendário'!$B$9:$B$214,$C27,'Calendário'!$N$9:$N$214,"Não se aplica")-COUNTIFS('Calendário'!$B$9:$B$214,$C27,'Calendário'!$O$9:$O$214,"Não se aplica"))</x:f>
        <x:v>0 de 3</x:v>
      </x:c>
      <x:c r="M27" s="87" t="str">
        <x:f>(COUNTIFS('Calendário'!$B$9:$B$214,$C27,'Calendário'!$J$9:$J$214,"Publicado")+COUNTIFS('Calendário'!$B$9:$B$214,$C27,'Calendário'!$K$9:$K$214,"Publicado")+COUNTIFS('Calendário'!$B$9:$B$214,$C27,'Calendário'!$M$9:$M$214,"Publicado")+COUNTIFS('Calendário'!$B$9:$B$214,$C27,'Calendário'!$N$9:$N$214,"Publicado")+COUNTIFS('Calendário'!$B$9:$B$214,$C27,'Calendário'!$O$9:$O$214,"Publicado"))&amp;" de "&amp;(5-COUNTIFS('Calendário'!$B$9:$B$214,$C27,'Calendário'!$N$9:$N$214,"Não se aplica")-COUNTIFS('Calendário'!$B$9:$B$214,$C27,'Calendário'!$O$9:$O$214,"Não se aplica"))</x:f>
        <x:v>0 de 3</x:v>
      </x:c>
      <x:c r="N27" s="75"/>
      <x:c r="O27" s="75"/>
      <x:c r="P27" s="61"/>
    </x:row>
    <x:row r="28" ht="57" customHeight="1">
      <x:c r="A28" s="61"/>
      <x:c r="B28" s="69" t="str">
        <x:f>TEXT(D28,"yyyy-mm")</x:f>
        <x:v>2026-10</x:v>
      </x:c>
      <x:c r="C28" s="72" t="str">
        <x:v>P20</x:v>
      </x:c>
      <x:c r="D28" s="90" t="n">
        <x:f>INDEX('Calendário'!$C$9:$C$214,MATCH($C28,'Calendário'!$B$9:$B$214,0))</x:f>
        <x:v>46312.5</x:v>
      </x:c>
      <x:c r="E28" s="69" t="str">
        <x:f>INDEX('Calendário'!$F$9:$F$214,MATCH($C28,'Calendário'!$B$9:$B$214,0))</x:f>
        <x:v>Estático</x:v>
      </x:c>
      <x:c r="F28" s="69" t="str">
        <x:f>INDEX('Calendário'!$G$9:$G$214,MATCH($C28,'Calendário'!$B$9:$B$214,0))</x:f>
        <x:v>Qual propriedade você consulta primeiro?</x:v>
      </x:c>
      <x:c r="G28" s="78" t="str">
        <x:f>IF(INDEX('Calendário'!$P$9:$P$214,MATCH($C28,'Calendário'!$B$9:$B$214,0))="","",INDEX('Calendário'!$P$9:$P$214,MATCH($C28,'Calendário'!$B$9:$B$214,0)))</x:f>
      </x:c>
      <x:c r="H28" s="75" t="str">
        <x:v>Não iniciada</x:v>
      </x:c>
      <x:c r="I28" s="75" t="str">
        <x:v>Não se aplica</x:v>
      </x:c>
      <x:c r="J28" s="75" t="str">
        <x:v>Pendente</x:v>
      </x:c>
      <x:c r="K28" s="75" t="str">
        <x:v>Pendente</x:v>
      </x:c>
      <x:c r="L28" s="87" t="str">
        <x:f>(COUNTIFS('Calendário'!$B$9:$B$214,$C28,'Calendário'!$J$9:$J$214,"Agendado")+COUNTIFS('Calendário'!$B$9:$B$214,$C28,'Calendário'!$K$9:$K$214,"Agendado")+COUNTIFS('Calendário'!$B$9:$B$214,$C28,'Calendário'!$M$9:$M$214,"Agendado")+COUNTIFS('Calendário'!$B$9:$B$214,$C28,'Calendário'!$N$9:$N$214,"Agendado")+COUNTIFS('Calendário'!$B$9:$B$214,$C28,'Calendário'!$O$9:$O$214,"Agendado")+COUNTIFS('Calendário'!$B$9:$B$214,$C28,'Calendário'!$J$9:$J$214,"Publicado")+COUNTIFS('Calendário'!$B$9:$B$214,$C28,'Calendário'!$K$9:$K$214,"Publicado")+COUNTIFS('Calendário'!$B$9:$B$214,$C28,'Calendário'!$M$9:$M$214,"Publicado")+COUNTIFS('Calendário'!$B$9:$B$214,$C28,'Calendário'!$N$9:$N$214,"Publicado")+COUNTIFS('Calendário'!$B$9:$B$214,$C28,'Calendário'!$O$9:$O$214,"Publicado"))&amp;" de "&amp;(5-COUNTIFS('Calendário'!$B$9:$B$214,$C28,'Calendário'!$N$9:$N$214,"Não se aplica")-COUNTIFS('Calendário'!$B$9:$B$214,$C28,'Calendário'!$O$9:$O$214,"Não se aplica"))</x:f>
        <x:v>0 de 3</x:v>
      </x:c>
      <x:c r="M28" s="87" t="str">
        <x:f>(COUNTIFS('Calendário'!$B$9:$B$214,$C28,'Calendário'!$J$9:$J$214,"Publicado")+COUNTIFS('Calendário'!$B$9:$B$214,$C28,'Calendário'!$K$9:$K$214,"Publicado")+COUNTIFS('Calendário'!$B$9:$B$214,$C28,'Calendário'!$M$9:$M$214,"Publicado")+COUNTIFS('Calendário'!$B$9:$B$214,$C28,'Calendário'!$N$9:$N$214,"Publicado")+COUNTIFS('Calendário'!$B$9:$B$214,$C28,'Calendário'!$O$9:$O$214,"Publicado"))&amp;" de "&amp;(5-COUNTIFS('Calendário'!$B$9:$B$214,$C28,'Calendário'!$N$9:$N$214,"Não se aplica")-COUNTIFS('Calendário'!$B$9:$B$214,$C28,'Calendário'!$O$9:$O$214,"Não se aplica"))</x:f>
        <x:v>0 de 3</x:v>
      </x:c>
      <x:c r="N28" s="75"/>
      <x:c r="O28" s="75"/>
      <x:c r="P28" s="61"/>
    </x:row>
    <x:row r="29" ht="57" customHeight="1">
      <x:c r="A29" s="61"/>
      <x:c r="B29" s="69" t="str">
        <x:f>TEXT(D29,"yyyy-mm")</x:f>
        <x:v>2026-10</x:v>
      </x:c>
      <x:c r="C29" s="72" t="str">
        <x:v>P21</x:v>
      </x:c>
      <x:c r="D29" s="90" t="n">
        <x:f>INDEX('Calendário'!$C$9:$C$214,MATCH($C29,'Calendário'!$B$9:$B$214,0))</x:f>
        <x:v>46314.5</x:v>
      </x:c>
      <x:c r="E29" s="69" t="str">
        <x:f>INDEX('Calendário'!$F$9:$F$214,MATCH($C29,'Calendário'!$B$9:$B$214,0))</x:f>
        <x:v>Carrossel</x:v>
      </x:c>
      <x:c r="F29" s="69" t="str">
        <x:f>INDEX('Calendário'!$G$9:$G$214,MATCH($C29,'Calendário'!$B$9:$B$214,0))</x:f>
        <x:v>Como encontrar o detalhe certo no
projeto?</x:v>
      </x:c>
      <x:c r="G29" s="78" t="str">
        <x:f>IF(INDEX('Calendário'!$P$9:$P$214,MATCH($C29,'Calendário'!$B$9:$B$214,0))="","",INDEX('Calendário'!$P$9:$P$214,MATCH($C29,'Calendário'!$B$9:$B$214,0)))</x:f>
      </x:c>
      <x:c r="H29" s="75" t="str">
        <x:v>Não iniciada</x:v>
      </x:c>
      <x:c r="I29" s="75" t="str">
        <x:v>Não se aplica</x:v>
      </x:c>
      <x:c r="J29" s="75" t="str">
        <x:v>Pendente</x:v>
      </x:c>
      <x:c r="K29" s="75" t="str">
        <x:v>Pendente</x:v>
      </x:c>
      <x:c r="L29" s="87" t="str">
        <x:f>(COUNTIFS('Calendário'!$B$9:$B$214,$C29,'Calendário'!$J$9:$J$214,"Agendado")+COUNTIFS('Calendário'!$B$9:$B$214,$C29,'Calendário'!$K$9:$K$214,"Agendado")+COUNTIFS('Calendário'!$B$9:$B$214,$C29,'Calendário'!$M$9:$M$214,"Agendado")+COUNTIFS('Calendário'!$B$9:$B$214,$C29,'Calendário'!$N$9:$N$214,"Agendado")+COUNTIFS('Calendário'!$B$9:$B$214,$C29,'Calendário'!$O$9:$O$214,"Agendado")+COUNTIFS('Calendário'!$B$9:$B$214,$C29,'Calendário'!$J$9:$J$214,"Publicado")+COUNTIFS('Calendário'!$B$9:$B$214,$C29,'Calendário'!$K$9:$K$214,"Publicado")+COUNTIFS('Calendário'!$B$9:$B$214,$C29,'Calendário'!$M$9:$M$214,"Publicado")+COUNTIFS('Calendário'!$B$9:$B$214,$C29,'Calendário'!$N$9:$N$214,"Publicado")+COUNTIFS('Calendário'!$B$9:$B$214,$C29,'Calendário'!$O$9:$O$214,"Publicado"))&amp;" de "&amp;(5-COUNTIFS('Calendário'!$B$9:$B$214,$C29,'Calendário'!$N$9:$N$214,"Não se aplica")-COUNTIFS('Calendário'!$B$9:$B$214,$C29,'Calendário'!$O$9:$O$214,"Não se aplica"))</x:f>
        <x:v>0 de 3</x:v>
      </x:c>
      <x:c r="M29" s="87" t="str">
        <x:f>(COUNTIFS('Calendário'!$B$9:$B$214,$C29,'Calendário'!$J$9:$J$214,"Publicado")+COUNTIFS('Calendário'!$B$9:$B$214,$C29,'Calendário'!$K$9:$K$214,"Publicado")+COUNTIFS('Calendário'!$B$9:$B$214,$C29,'Calendário'!$M$9:$M$214,"Publicado")+COUNTIFS('Calendário'!$B$9:$B$214,$C29,'Calendário'!$N$9:$N$214,"Publicado")+COUNTIFS('Calendário'!$B$9:$B$214,$C29,'Calendário'!$O$9:$O$214,"Publicado"))&amp;" de "&amp;(5-COUNTIFS('Calendário'!$B$9:$B$214,$C29,'Calendário'!$N$9:$N$214,"Não se aplica")-COUNTIFS('Calendário'!$B$9:$B$214,$C29,'Calendário'!$O$9:$O$214,"Não se aplica"))</x:f>
        <x:v>0 de 3</x:v>
      </x:c>
      <x:c r="N29" s="75"/>
      <x:c r="O29" s="75"/>
      <x:c r="P29" s="61"/>
    </x:row>
    <x:row r="30" ht="57" customHeight="1">
      <x:c r="A30" s="61"/>
      <x:c r="B30" s="69" t="str">
        <x:f>TEXT(D30,"yyyy-mm")</x:f>
        <x:v>2026-10</x:v>
      </x:c>
      <x:c r="C30" s="72" t="str">
        <x:v>P22</x:v>
      </x:c>
      <x:c r="D30" s="90" t="n">
        <x:f>INDEX('Calendário'!$C$9:$C$214,MATCH($C30,'Calendário'!$B$9:$B$214,0))</x:f>
        <x:v>46316.5</x:v>
      </x:c>
      <x:c r="E30" s="69" t="str">
        <x:f>INDEX('Calendário'!$F$9:$F$214,MATCH($C30,'Calendário'!$B$9:$B$214,0))</x:f>
        <x:v>Reel</x:v>
      </x:c>
      <x:c r="F30" s="69" t="str">
        <x:f>INDEX('Calendário'!$G$9:$G$214,MATCH($C30,'Calendário'!$B$9:$B$214,0))</x:f>
        <x:v>Exemplo prático: localização no modelo.</x:v>
      </x:c>
      <x:c r="G30" s="78" t="str">
        <x:f>IF(INDEX('Calendário'!$P$9:$P$214,MATCH($C30,'Calendário'!$B$9:$B$214,0))="","",INDEX('Calendário'!$P$9:$P$214,MATCH($C30,'Calendário'!$B$9:$B$214,0)))</x:f>
      </x:c>
      <x:c r="H30" s="75" t="str">
        <x:v>Não iniciada</x:v>
      </x:c>
      <x:c r="I30" s="75" t="str">
        <x:v>Não iniciado</x:v>
      </x:c>
      <x:c r="J30" s="75" t="str">
        <x:v>Pendente</x:v>
      </x:c>
      <x:c r="K30" s="75" t="str">
        <x:v>Pendente</x:v>
      </x:c>
      <x:c r="L30" s="87" t="str">
        <x:f>(COUNTIFS('Calendário'!$B$9:$B$214,$C30,'Calendário'!$J$9:$J$214,"Agendado")+COUNTIFS('Calendário'!$B$9:$B$214,$C30,'Calendário'!$K$9:$K$214,"Agendado")+COUNTIFS('Calendário'!$B$9:$B$214,$C30,'Calendário'!$M$9:$M$214,"Agendado")+COUNTIFS('Calendário'!$B$9:$B$214,$C30,'Calendário'!$N$9:$N$214,"Agendado")+COUNTIFS('Calendário'!$B$9:$B$214,$C30,'Calendário'!$O$9:$O$214,"Agendado")+COUNTIFS('Calendário'!$B$9:$B$214,$C30,'Calendário'!$J$9:$J$214,"Publicado")+COUNTIFS('Calendário'!$B$9:$B$214,$C30,'Calendário'!$K$9:$K$214,"Publicado")+COUNTIFS('Calendário'!$B$9:$B$214,$C30,'Calendário'!$M$9:$M$214,"Publicado")+COUNTIFS('Calendário'!$B$9:$B$214,$C30,'Calendário'!$N$9:$N$214,"Publicado")+COUNTIFS('Calendário'!$B$9:$B$214,$C30,'Calendário'!$O$9:$O$214,"Publicado"))&amp;" de "&amp;(5-COUNTIFS('Calendário'!$B$9:$B$214,$C30,'Calendário'!$N$9:$N$214,"Não se aplica")-COUNTIFS('Calendário'!$B$9:$B$214,$C30,'Calendário'!$O$9:$O$214,"Não se aplica"))</x:f>
        <x:v>0 de 5</x:v>
      </x:c>
      <x:c r="M30" s="87" t="str">
        <x:f>(COUNTIFS('Calendário'!$B$9:$B$214,$C30,'Calendário'!$J$9:$J$214,"Publicado")+COUNTIFS('Calendário'!$B$9:$B$214,$C30,'Calendário'!$K$9:$K$214,"Publicado")+COUNTIFS('Calendário'!$B$9:$B$214,$C30,'Calendário'!$M$9:$M$214,"Publicado")+COUNTIFS('Calendário'!$B$9:$B$214,$C30,'Calendário'!$N$9:$N$214,"Publicado")+COUNTIFS('Calendário'!$B$9:$B$214,$C30,'Calendário'!$O$9:$O$214,"Publicado"))&amp;" de "&amp;(5-COUNTIFS('Calendário'!$B$9:$B$214,$C30,'Calendário'!$N$9:$N$214,"Não se aplica")-COUNTIFS('Calendário'!$B$9:$B$214,$C30,'Calendário'!$O$9:$O$214,"Não se aplica"))</x:f>
        <x:v>0 de 5</x:v>
      </x:c>
      <x:c r="N30" s="75"/>
      <x:c r="O30" s="75"/>
      <x:c r="P30" s="61"/>
    </x:row>
    <x:row r="31" ht="57" customHeight="1">
      <x:c r="A31" s="61"/>
      <x:c r="B31" s="69" t="str">
        <x:f>TEXT(D31,"yyyy-mm")</x:f>
        <x:v>2026-10</x:v>
      </x:c>
      <x:c r="C31" s="72" t="str">
        <x:v>P23</x:v>
      </x:c>
      <x:c r="D31" s="90" t="n">
        <x:f>INDEX('Calendário'!$C$9:$C$214,MATCH($C31,'Calendário'!$B$9:$B$214,0))</x:f>
        <x:v>46318.5</x:v>
      </x:c>
      <x:c r="E31" s="69" t="str">
        <x:f>INDEX('Calendário'!$F$9:$F$214,MATCH($C31,'Calendário'!$B$9:$B$214,0))</x:f>
        <x:v>Carrossel</x:v>
      </x:c>
      <x:c r="F31" s="69" t="str">
        <x:f>INDEX('Calendário'!$G$9:$G$214,MATCH($C31,'Calendário'!$B$9:$B$214,0))</x:f>
        <x:v>Checklist: localização no modelo.</x:v>
      </x:c>
      <x:c r="G31" s="78" t="str">
        <x:f>IF(INDEX('Calendário'!$P$9:$P$214,MATCH($C31,'Calendário'!$B$9:$B$214,0))="","",INDEX('Calendário'!$P$9:$P$214,MATCH($C31,'Calendário'!$B$9:$B$214,0)))</x:f>
      </x:c>
      <x:c r="H31" s="75" t="str">
        <x:v>Não iniciada</x:v>
      </x:c>
      <x:c r="I31" s="75" t="str">
        <x:v>Não se aplica</x:v>
      </x:c>
      <x:c r="J31" s="75" t="str">
        <x:v>Pendente</x:v>
      </x:c>
      <x:c r="K31" s="75" t="str">
        <x:v>Pendente</x:v>
      </x:c>
      <x:c r="L31" s="87" t="str">
        <x:f>(COUNTIFS('Calendário'!$B$9:$B$214,$C31,'Calendário'!$J$9:$J$214,"Agendado")+COUNTIFS('Calendário'!$B$9:$B$214,$C31,'Calendário'!$K$9:$K$214,"Agendado")+COUNTIFS('Calendário'!$B$9:$B$214,$C31,'Calendário'!$M$9:$M$214,"Agendado")+COUNTIFS('Calendário'!$B$9:$B$214,$C31,'Calendário'!$N$9:$N$214,"Agendado")+COUNTIFS('Calendário'!$B$9:$B$214,$C31,'Calendário'!$O$9:$O$214,"Agendado")+COUNTIFS('Calendário'!$B$9:$B$214,$C31,'Calendário'!$J$9:$J$214,"Publicado")+COUNTIFS('Calendário'!$B$9:$B$214,$C31,'Calendário'!$K$9:$K$214,"Publicado")+COUNTIFS('Calendário'!$B$9:$B$214,$C31,'Calendário'!$M$9:$M$214,"Publicado")+COUNTIFS('Calendário'!$B$9:$B$214,$C31,'Calendário'!$N$9:$N$214,"Publicado")+COUNTIFS('Calendário'!$B$9:$B$214,$C31,'Calendário'!$O$9:$O$214,"Publicado"))&amp;" de "&amp;(5-COUNTIFS('Calendário'!$B$9:$B$214,$C31,'Calendário'!$N$9:$N$214,"Não se aplica")-COUNTIFS('Calendário'!$B$9:$B$214,$C31,'Calendário'!$O$9:$O$214,"Não se aplica"))</x:f>
        <x:v>0 de 3</x:v>
      </x:c>
      <x:c r="M31" s="87" t="str">
        <x:f>(COUNTIFS('Calendário'!$B$9:$B$214,$C31,'Calendário'!$J$9:$J$214,"Publicado")+COUNTIFS('Calendário'!$B$9:$B$214,$C31,'Calendário'!$K$9:$K$214,"Publicado")+COUNTIFS('Calendário'!$B$9:$B$214,$C31,'Calendário'!$M$9:$M$214,"Publicado")+COUNTIFS('Calendário'!$B$9:$B$214,$C31,'Calendário'!$N$9:$N$214,"Publicado")+COUNTIFS('Calendário'!$B$9:$B$214,$C31,'Calendário'!$O$9:$O$214,"Publicado"))&amp;" de "&amp;(5-COUNTIFS('Calendário'!$B$9:$B$214,$C31,'Calendário'!$N$9:$N$214,"Não se aplica")-COUNTIFS('Calendário'!$B$9:$B$214,$C31,'Calendário'!$O$9:$O$214,"Não se aplica"))</x:f>
        <x:v>0 de 3</x:v>
      </x:c>
      <x:c r="N31" s="75"/>
      <x:c r="O31" s="75"/>
      <x:c r="P31" s="61"/>
    </x:row>
    <x:row r="32" ht="57" customHeight="1">
      <x:c r="A32" s="61"/>
      <x:c r="B32" s="69" t="str">
        <x:f>TEXT(D32,"yyyy-mm")</x:f>
        <x:v>2026-10</x:v>
      </x:c>
      <x:c r="C32" s="72" t="str">
        <x:v>P24</x:v>
      </x:c>
      <x:c r="D32" s="90" t="n">
        <x:f>INDEX('Calendário'!$C$9:$C$214,MATCH($C32,'Calendário'!$B$9:$B$214,0))</x:f>
        <x:v>46319.5</x:v>
      </x:c>
      <x:c r="E32" s="69" t="str">
        <x:f>INDEX('Calendário'!$F$9:$F$214,MATCH($C32,'Calendário'!$B$9:$B$214,0))</x:f>
        <x:v>Estático</x:v>
      </x:c>
      <x:c r="F32" s="69" t="str">
        <x:f>INDEX('Calendário'!$G$9:$G$214,MATCH($C32,'Calendário'!$B$9:$B$214,0))</x:f>
        <x:v>Como você indica um detalhe para a
equipe?</x:v>
      </x:c>
      <x:c r="G32" s="78" t="str">
        <x:f>IF(INDEX('Calendário'!$P$9:$P$214,MATCH($C32,'Calendário'!$B$9:$B$214,0))="","",INDEX('Calendário'!$P$9:$P$214,MATCH($C32,'Calendário'!$B$9:$B$214,0)))</x:f>
      </x:c>
      <x:c r="H32" s="75" t="str">
        <x:v>Não iniciada</x:v>
      </x:c>
      <x:c r="I32" s="75" t="str">
        <x:v>Não se aplica</x:v>
      </x:c>
      <x:c r="J32" s="75" t="str">
        <x:v>Pendente</x:v>
      </x:c>
      <x:c r="K32" s="75" t="str">
        <x:v>Pendente</x:v>
      </x:c>
      <x:c r="L32" s="87" t="str">
        <x:f>(COUNTIFS('Calendário'!$B$9:$B$214,$C32,'Calendário'!$J$9:$J$214,"Agendado")+COUNTIFS('Calendário'!$B$9:$B$214,$C32,'Calendário'!$K$9:$K$214,"Agendado")+COUNTIFS('Calendário'!$B$9:$B$214,$C32,'Calendário'!$M$9:$M$214,"Agendado")+COUNTIFS('Calendário'!$B$9:$B$214,$C32,'Calendário'!$N$9:$N$214,"Agendado")+COUNTIFS('Calendário'!$B$9:$B$214,$C32,'Calendário'!$O$9:$O$214,"Agendado")+COUNTIFS('Calendário'!$B$9:$B$214,$C32,'Calendário'!$J$9:$J$214,"Publicado")+COUNTIFS('Calendário'!$B$9:$B$214,$C32,'Calendário'!$K$9:$K$214,"Publicado")+COUNTIFS('Calendário'!$B$9:$B$214,$C32,'Calendário'!$M$9:$M$214,"Publicado")+COUNTIFS('Calendário'!$B$9:$B$214,$C32,'Calendário'!$N$9:$N$214,"Publicado")+COUNTIFS('Calendário'!$B$9:$B$214,$C32,'Calendário'!$O$9:$O$214,"Publicado"))&amp;" de "&amp;(5-COUNTIFS('Calendário'!$B$9:$B$214,$C32,'Calendário'!$N$9:$N$214,"Não se aplica")-COUNTIFS('Calendário'!$B$9:$B$214,$C32,'Calendário'!$O$9:$O$214,"Não se aplica"))</x:f>
        <x:v>0 de 3</x:v>
      </x:c>
      <x:c r="M32" s="87" t="str">
        <x:f>(COUNTIFS('Calendário'!$B$9:$B$214,$C32,'Calendário'!$J$9:$J$214,"Publicado")+COUNTIFS('Calendário'!$B$9:$B$214,$C32,'Calendário'!$K$9:$K$214,"Publicado")+COUNTIFS('Calendário'!$B$9:$B$214,$C32,'Calendário'!$M$9:$M$214,"Publicado")+COUNTIFS('Calendário'!$B$9:$B$214,$C32,'Calendário'!$N$9:$N$214,"Publicado")+COUNTIFS('Calendário'!$B$9:$B$214,$C32,'Calendário'!$O$9:$O$214,"Publicado"))&amp;" de "&amp;(5-COUNTIFS('Calendário'!$B$9:$B$214,$C32,'Calendário'!$N$9:$N$214,"Não se aplica")-COUNTIFS('Calendário'!$B$9:$B$214,$C32,'Calendário'!$O$9:$O$214,"Não se aplica"))</x:f>
        <x:v>0 de 3</x:v>
      </x:c>
      <x:c r="N32" s="75"/>
      <x:c r="O32" s="75"/>
      <x:c r="P32" s="61"/>
    </x:row>
    <x:row r="33" ht="57" customHeight="1">
      <x:c r="A33" s="61"/>
      <x:c r="B33" s="69" t="str">
        <x:f>TEXT(D33,"yyyy-mm")</x:f>
        <x:v>2026-10</x:v>
      </x:c>
      <x:c r="C33" s="72" t="str">
        <x:v>P25</x:v>
      </x:c>
      <x:c r="D33" s="90" t="n">
        <x:f>INDEX('Calendário'!$C$9:$C$214,MATCH($C33,'Calendário'!$B$9:$B$214,0))</x:f>
        <x:v>46321.5</x:v>
      </x:c>
      <x:c r="E33" s="69" t="str">
        <x:f>INDEX('Calendário'!$F$9:$F$214,MATCH($C33,'Calendário'!$B$9:$B$214,0))</x:f>
        <x:v>Carrossel</x:v>
      </x:c>
      <x:c r="F33" s="69" t="str">
        <x:f>INDEX('Calendário'!$G$9:$G$214,MATCH($C33,'Calendário'!$B$9:$B$214,0))</x:f>
        <x:v>Arquitetura, estrutura e instalações: o
que observar?</x:v>
      </x:c>
      <x:c r="G33" s="78" t="str">
        <x:f>IF(INDEX('Calendário'!$P$9:$P$214,MATCH($C33,'Calendário'!$B$9:$B$214,0))="","",INDEX('Calendário'!$P$9:$P$214,MATCH($C33,'Calendário'!$B$9:$B$214,0)))</x:f>
      </x:c>
      <x:c r="H33" s="75" t="str">
        <x:v>Não iniciada</x:v>
      </x:c>
      <x:c r="I33" s="75" t="str">
        <x:v>Não se aplica</x:v>
      </x:c>
      <x:c r="J33" s="75" t="str">
        <x:v>Pendente</x:v>
      </x:c>
      <x:c r="K33" s="75" t="str">
        <x:v>Pendente</x:v>
      </x:c>
      <x:c r="L33" s="87" t="str">
        <x:f>(COUNTIFS('Calendário'!$B$9:$B$214,$C33,'Calendário'!$J$9:$J$214,"Agendado")+COUNTIFS('Calendário'!$B$9:$B$214,$C33,'Calendário'!$K$9:$K$214,"Agendado")+COUNTIFS('Calendário'!$B$9:$B$214,$C33,'Calendário'!$M$9:$M$214,"Agendado")+COUNTIFS('Calendário'!$B$9:$B$214,$C33,'Calendário'!$N$9:$N$214,"Agendado")+COUNTIFS('Calendário'!$B$9:$B$214,$C33,'Calendário'!$O$9:$O$214,"Agendado")+COUNTIFS('Calendário'!$B$9:$B$214,$C33,'Calendário'!$J$9:$J$214,"Publicado")+COUNTIFS('Calendário'!$B$9:$B$214,$C33,'Calendário'!$K$9:$K$214,"Publicado")+COUNTIFS('Calendário'!$B$9:$B$214,$C33,'Calendário'!$M$9:$M$214,"Publicado")+COUNTIFS('Calendário'!$B$9:$B$214,$C33,'Calendário'!$N$9:$N$214,"Publicado")+COUNTIFS('Calendário'!$B$9:$B$214,$C33,'Calendário'!$O$9:$O$214,"Publicado"))&amp;" de "&amp;(5-COUNTIFS('Calendário'!$B$9:$B$214,$C33,'Calendário'!$N$9:$N$214,"Não se aplica")-COUNTIFS('Calendário'!$B$9:$B$214,$C33,'Calendário'!$O$9:$O$214,"Não se aplica"))</x:f>
        <x:v>0 de 3</x:v>
      </x:c>
      <x:c r="M33" s="87" t="str">
        <x:f>(COUNTIFS('Calendário'!$B$9:$B$214,$C33,'Calendário'!$J$9:$J$214,"Publicado")+COUNTIFS('Calendário'!$B$9:$B$214,$C33,'Calendário'!$K$9:$K$214,"Publicado")+COUNTIFS('Calendário'!$B$9:$B$214,$C33,'Calendário'!$M$9:$M$214,"Publicado")+COUNTIFS('Calendário'!$B$9:$B$214,$C33,'Calendário'!$N$9:$N$214,"Publicado")+COUNTIFS('Calendário'!$B$9:$B$214,$C33,'Calendário'!$O$9:$O$214,"Publicado"))&amp;" de "&amp;(5-COUNTIFS('Calendário'!$B$9:$B$214,$C33,'Calendário'!$N$9:$N$214,"Não se aplica")-COUNTIFS('Calendário'!$B$9:$B$214,$C33,'Calendário'!$O$9:$O$214,"Não se aplica"))</x:f>
        <x:v>0 de 3</x:v>
      </x:c>
      <x:c r="N33" s="75"/>
      <x:c r="O33" s="75"/>
      <x:c r="P33" s="61"/>
    </x:row>
    <x:row r="34" ht="57" customHeight="1">
      <x:c r="A34" s="61"/>
      <x:c r="B34" s="69" t="str">
        <x:f>TEXT(D34,"yyyy-mm")</x:f>
        <x:v>2026-10</x:v>
      </x:c>
      <x:c r="C34" s="72" t="str">
        <x:v>P26</x:v>
      </x:c>
      <x:c r="D34" s="90" t="n">
        <x:f>INDEX('Calendário'!$C$9:$C$214,MATCH($C34,'Calendário'!$B$9:$B$214,0))</x:f>
        <x:v>46323.5</x:v>
      </x:c>
      <x:c r="E34" s="69" t="str">
        <x:f>INDEX('Calendário'!$F$9:$F$214,MATCH($C34,'Calendário'!$B$9:$B$214,0))</x:f>
        <x:v>Reel</x:v>
      </x:c>
      <x:c r="F34" s="69" t="str">
        <x:f>INDEX('Calendário'!$G$9:$G$214,MATCH($C34,'Calendário'!$B$9:$B$214,0))</x:f>
        <x:v>Exemplo prático: disciplinas e contexto.</x:v>
      </x:c>
      <x:c r="G34" s="78" t="str">
        <x:f>IF(INDEX('Calendário'!$P$9:$P$214,MATCH($C34,'Calendário'!$B$9:$B$214,0))="","",INDEX('Calendário'!$P$9:$P$214,MATCH($C34,'Calendário'!$B$9:$B$214,0)))</x:f>
      </x:c>
      <x:c r="H34" s="75" t="str">
        <x:v>Não iniciada</x:v>
      </x:c>
      <x:c r="I34" s="75" t="str">
        <x:v>Não iniciado</x:v>
      </x:c>
      <x:c r="J34" s="75" t="str">
        <x:v>Pendente</x:v>
      </x:c>
      <x:c r="K34" s="75" t="str">
        <x:v>Pendente</x:v>
      </x:c>
      <x:c r="L34" s="87" t="str">
        <x:f>(COUNTIFS('Calendário'!$B$9:$B$214,$C34,'Calendário'!$J$9:$J$214,"Agendado")+COUNTIFS('Calendário'!$B$9:$B$214,$C34,'Calendário'!$K$9:$K$214,"Agendado")+COUNTIFS('Calendário'!$B$9:$B$214,$C34,'Calendário'!$M$9:$M$214,"Agendado")+COUNTIFS('Calendário'!$B$9:$B$214,$C34,'Calendário'!$N$9:$N$214,"Agendado")+COUNTIFS('Calendário'!$B$9:$B$214,$C34,'Calendário'!$O$9:$O$214,"Agendado")+COUNTIFS('Calendário'!$B$9:$B$214,$C34,'Calendário'!$J$9:$J$214,"Publicado")+COUNTIFS('Calendário'!$B$9:$B$214,$C34,'Calendário'!$K$9:$K$214,"Publicado")+COUNTIFS('Calendário'!$B$9:$B$214,$C34,'Calendário'!$M$9:$M$214,"Publicado")+COUNTIFS('Calendário'!$B$9:$B$214,$C34,'Calendário'!$N$9:$N$214,"Publicado")+COUNTIFS('Calendário'!$B$9:$B$214,$C34,'Calendário'!$O$9:$O$214,"Publicado"))&amp;" de "&amp;(5-COUNTIFS('Calendário'!$B$9:$B$214,$C34,'Calendário'!$N$9:$N$214,"Não se aplica")-COUNTIFS('Calendário'!$B$9:$B$214,$C34,'Calendário'!$O$9:$O$214,"Não se aplica"))</x:f>
        <x:v>0 de 5</x:v>
      </x:c>
      <x:c r="M34" s="87" t="str">
        <x:f>(COUNTIFS('Calendário'!$B$9:$B$214,$C34,'Calendário'!$J$9:$J$214,"Publicado")+COUNTIFS('Calendário'!$B$9:$B$214,$C34,'Calendário'!$K$9:$K$214,"Publicado")+COUNTIFS('Calendário'!$B$9:$B$214,$C34,'Calendário'!$M$9:$M$214,"Publicado")+COUNTIFS('Calendário'!$B$9:$B$214,$C34,'Calendário'!$N$9:$N$214,"Publicado")+COUNTIFS('Calendário'!$B$9:$B$214,$C34,'Calendário'!$O$9:$O$214,"Publicado"))&amp;" de "&amp;(5-COUNTIFS('Calendário'!$B$9:$B$214,$C34,'Calendário'!$N$9:$N$214,"Não se aplica")-COUNTIFS('Calendário'!$B$9:$B$214,$C34,'Calendário'!$O$9:$O$214,"Não se aplica"))</x:f>
        <x:v>0 de 5</x:v>
      </x:c>
      <x:c r="N34" s="75"/>
      <x:c r="O34" s="75"/>
      <x:c r="P34" s="61"/>
    </x:row>
    <x:row r="35" ht="57" customHeight="1">
      <x:c r="A35" s="61"/>
      <x:c r="B35" s="69" t="str">
        <x:f>TEXT(D35,"yyyy-mm")</x:f>
        <x:v>2026-10</x:v>
      </x:c>
      <x:c r="C35" s="72" t="str">
        <x:v>P27</x:v>
      </x:c>
      <x:c r="D35" s="90" t="n">
        <x:f>INDEX('Calendário'!$C$9:$C$214,MATCH($C35,'Calendário'!$B$9:$B$214,0))</x:f>
        <x:v>46325.5</x:v>
      </x:c>
      <x:c r="E35" s="69" t="str">
        <x:f>INDEX('Calendário'!$F$9:$F$214,MATCH($C35,'Calendário'!$B$9:$B$214,0))</x:f>
        <x:v>Carrossel</x:v>
      </x:c>
      <x:c r="F35" s="69" t="str">
        <x:f>INDEX('Calendário'!$G$9:$G$214,MATCH($C35,'Calendário'!$B$9:$B$214,0))</x:f>
        <x:v>Checklist: disciplinas e contexto.</x:v>
      </x:c>
      <x:c r="G35" s="78" t="str">
        <x:f>IF(INDEX('Calendário'!$P$9:$P$214,MATCH($C35,'Calendário'!$B$9:$B$214,0))="","",INDEX('Calendário'!$P$9:$P$214,MATCH($C35,'Calendário'!$B$9:$B$214,0)))</x:f>
      </x:c>
      <x:c r="H35" s="75" t="str">
        <x:v>Não iniciada</x:v>
      </x:c>
      <x:c r="I35" s="75" t="str">
        <x:v>Não se aplica</x:v>
      </x:c>
      <x:c r="J35" s="75" t="str">
        <x:v>Pendente</x:v>
      </x:c>
      <x:c r="K35" s="75" t="str">
        <x:v>Pendente</x:v>
      </x:c>
      <x:c r="L35" s="87" t="str">
        <x:f>(COUNTIFS('Calendário'!$B$9:$B$214,$C35,'Calendário'!$J$9:$J$214,"Agendado")+COUNTIFS('Calendário'!$B$9:$B$214,$C35,'Calendário'!$K$9:$K$214,"Agendado")+COUNTIFS('Calendário'!$B$9:$B$214,$C35,'Calendário'!$M$9:$M$214,"Agendado")+COUNTIFS('Calendário'!$B$9:$B$214,$C35,'Calendário'!$N$9:$N$214,"Agendado")+COUNTIFS('Calendário'!$B$9:$B$214,$C35,'Calendário'!$O$9:$O$214,"Agendado")+COUNTIFS('Calendário'!$B$9:$B$214,$C35,'Calendário'!$J$9:$J$214,"Publicado")+COUNTIFS('Calendário'!$B$9:$B$214,$C35,'Calendário'!$K$9:$K$214,"Publicado")+COUNTIFS('Calendário'!$B$9:$B$214,$C35,'Calendário'!$M$9:$M$214,"Publicado")+COUNTIFS('Calendário'!$B$9:$B$214,$C35,'Calendário'!$N$9:$N$214,"Publicado")+COUNTIFS('Calendário'!$B$9:$B$214,$C35,'Calendário'!$O$9:$O$214,"Publicado"))&amp;" de "&amp;(5-COUNTIFS('Calendário'!$B$9:$B$214,$C35,'Calendário'!$N$9:$N$214,"Não se aplica")-COUNTIFS('Calendário'!$B$9:$B$214,$C35,'Calendário'!$O$9:$O$214,"Não se aplica"))</x:f>
        <x:v>0 de 3</x:v>
      </x:c>
      <x:c r="M35" s="87" t="str">
        <x:f>(COUNTIFS('Calendário'!$B$9:$B$214,$C35,'Calendário'!$J$9:$J$214,"Publicado")+COUNTIFS('Calendário'!$B$9:$B$214,$C35,'Calendário'!$K$9:$K$214,"Publicado")+COUNTIFS('Calendário'!$B$9:$B$214,$C35,'Calendário'!$M$9:$M$214,"Publicado")+COUNTIFS('Calendário'!$B$9:$B$214,$C35,'Calendário'!$N$9:$N$214,"Publicado")+COUNTIFS('Calendário'!$B$9:$B$214,$C35,'Calendário'!$O$9:$O$214,"Publicado"))&amp;" de "&amp;(5-COUNTIFS('Calendário'!$B$9:$B$214,$C35,'Calendário'!$N$9:$N$214,"Não se aplica")-COUNTIFS('Calendário'!$B$9:$B$214,$C35,'Calendário'!$O$9:$O$214,"Não se aplica"))</x:f>
        <x:v>0 de 3</x:v>
      </x:c>
      <x:c r="N35" s="75"/>
      <x:c r="O35" s="75"/>
      <x:c r="P35" s="61"/>
    </x:row>
    <x:row r="36" ht="57" customHeight="1">
      <x:c r="A36" s="61"/>
      <x:c r="B36" s="69" t="str">
        <x:f>TEXT(D36,"yyyy-mm")</x:f>
        <x:v>2026-10</x:v>
      </x:c>
      <x:c r="C36" s="72" t="str">
        <x:v>P28</x:v>
      </x:c>
      <x:c r="D36" s="90" t="n">
        <x:f>INDEX('Calendário'!$C$9:$C$214,MATCH($C36,'Calendário'!$B$9:$B$214,0))</x:f>
        <x:v>46326.5</x:v>
      </x:c>
      <x:c r="E36" s="69" t="str">
        <x:f>INDEX('Calendário'!$F$9:$F$214,MATCH($C36,'Calendário'!$B$9:$B$214,0))</x:f>
        <x:v>Estático</x:v>
      </x:c>
      <x:c r="F36" s="69" t="str">
        <x:f>INDEX('Calendário'!$G$9:$G$214,MATCH($C36,'Calendário'!$B$9:$B$214,0))</x:f>
        <x:v>Qual interface entre disciplinas mais
gera dúvidas?</x:v>
      </x:c>
      <x:c r="G36" s="78" t="str">
        <x:f>IF(INDEX('Calendário'!$P$9:$P$214,MATCH($C36,'Calendário'!$B$9:$B$214,0))="","",INDEX('Calendário'!$P$9:$P$214,MATCH($C36,'Calendário'!$B$9:$B$214,0)))</x:f>
      </x:c>
      <x:c r="H36" s="75" t="str">
        <x:v>Não iniciada</x:v>
      </x:c>
      <x:c r="I36" s="75" t="str">
        <x:v>Não se aplica</x:v>
      </x:c>
      <x:c r="J36" s="75" t="str">
        <x:v>Pendente</x:v>
      </x:c>
      <x:c r="K36" s="75" t="str">
        <x:v>Pendente</x:v>
      </x:c>
      <x:c r="L36" s="87" t="str">
        <x:f>(COUNTIFS('Calendário'!$B$9:$B$214,$C36,'Calendário'!$J$9:$J$214,"Agendado")+COUNTIFS('Calendário'!$B$9:$B$214,$C36,'Calendário'!$K$9:$K$214,"Agendado")+COUNTIFS('Calendário'!$B$9:$B$214,$C36,'Calendário'!$M$9:$M$214,"Agendado")+COUNTIFS('Calendário'!$B$9:$B$214,$C36,'Calendário'!$N$9:$N$214,"Agendado")+COUNTIFS('Calendário'!$B$9:$B$214,$C36,'Calendário'!$O$9:$O$214,"Agendado")+COUNTIFS('Calendário'!$B$9:$B$214,$C36,'Calendário'!$J$9:$J$214,"Publicado")+COUNTIFS('Calendário'!$B$9:$B$214,$C36,'Calendário'!$K$9:$K$214,"Publicado")+COUNTIFS('Calendário'!$B$9:$B$214,$C36,'Calendário'!$M$9:$M$214,"Publicado")+COUNTIFS('Calendário'!$B$9:$B$214,$C36,'Calendário'!$N$9:$N$214,"Publicado")+COUNTIFS('Calendário'!$B$9:$B$214,$C36,'Calendário'!$O$9:$O$214,"Publicado"))&amp;" de "&amp;(5-COUNTIFS('Calendário'!$B$9:$B$214,$C36,'Calendário'!$N$9:$N$214,"Não se aplica")-COUNTIFS('Calendário'!$B$9:$B$214,$C36,'Calendário'!$O$9:$O$214,"Não se aplica"))</x:f>
        <x:v>0 de 3</x:v>
      </x:c>
      <x:c r="M36" s="87" t="str">
        <x:f>(COUNTIFS('Calendário'!$B$9:$B$214,$C36,'Calendário'!$J$9:$J$214,"Publicado")+COUNTIFS('Calendário'!$B$9:$B$214,$C36,'Calendário'!$K$9:$K$214,"Publicado")+COUNTIFS('Calendário'!$B$9:$B$214,$C36,'Calendário'!$M$9:$M$214,"Publicado")+COUNTIFS('Calendário'!$B$9:$B$214,$C36,'Calendário'!$N$9:$N$214,"Publicado")+COUNTIFS('Calendário'!$B$9:$B$214,$C36,'Calendário'!$O$9:$O$214,"Publicado"))&amp;" de "&amp;(5-COUNTIFS('Calendário'!$B$9:$B$214,$C36,'Calendário'!$N$9:$N$214,"Não se aplica")-COUNTIFS('Calendário'!$B$9:$B$214,$C36,'Calendário'!$O$9:$O$214,"Não se aplica"))</x:f>
        <x:v>0 de 3</x:v>
      </x:c>
      <x:c r="N36" s="75"/>
      <x:c r="O36" s="75"/>
      <x:c r="P36" s="61"/>
    </x:row>
    <x:row r="37" ht="57" customHeight="1">
      <x:c r="A37" s="61"/>
      <x:c r="B37" s="69" t="str">
        <x:f>TEXT(D37,"yyyy-mm")</x:f>
        <x:v>2026-11</x:v>
      </x:c>
      <x:c r="C37" s="72" t="str">
        <x:v>P29</x:v>
      </x:c>
      <x:c r="D37" s="90" t="n">
        <x:f>INDEX('Calendário'!$C$9:$C$214,MATCH($C37,'Calendário'!$B$9:$B$214,0))</x:f>
        <x:v>46328.5</x:v>
      </x:c>
      <x:c r="E37" s="69" t="str">
        <x:f>INDEX('Calendário'!$F$9:$F$214,MATCH($C37,'Calendário'!$B$9:$B$214,0))</x:f>
        <x:v>Carrossel</x:v>
      </x:c>
      <x:c r="F37" s="69" t="str">
        <x:f>INDEX('Calendário'!$G$9:$G$214,MATCH($C37,'Calendário'!$B$9:$B$214,0))</x:f>
        <x:v>Os modelos estão olhando para o mesmo
lugar?</x:v>
      </x:c>
      <x:c r="G37" s="78" t="str">
        <x:f>IF(INDEX('Calendário'!$P$9:$P$214,MATCH($C37,'Calendário'!$B$9:$B$214,0))="","",INDEX('Calendário'!$P$9:$P$214,MATCH($C37,'Calendário'!$B$9:$B$214,0)))</x:f>
      </x:c>
      <x:c r="H37" s="75" t="str">
        <x:v>Não iniciada</x:v>
      </x:c>
      <x:c r="I37" s="75" t="str">
        <x:v>Não se aplica</x:v>
      </x:c>
      <x:c r="J37" s="75" t="str">
        <x:v>Pendente</x:v>
      </x:c>
      <x:c r="K37" s="75" t="str">
        <x:v>Pendente</x:v>
      </x:c>
      <x:c r="L37" s="87" t="str">
        <x:f>(COUNTIFS('Calendário'!$B$9:$B$214,$C37,'Calendário'!$J$9:$J$214,"Agendado")+COUNTIFS('Calendário'!$B$9:$B$214,$C37,'Calendário'!$K$9:$K$214,"Agendado")+COUNTIFS('Calendário'!$B$9:$B$214,$C37,'Calendário'!$M$9:$M$214,"Agendado")+COUNTIFS('Calendário'!$B$9:$B$214,$C37,'Calendário'!$N$9:$N$214,"Agendado")+COUNTIFS('Calendário'!$B$9:$B$214,$C37,'Calendário'!$O$9:$O$214,"Agendado")+COUNTIFS('Calendário'!$B$9:$B$214,$C37,'Calendário'!$J$9:$J$214,"Publicado")+COUNTIFS('Calendário'!$B$9:$B$214,$C37,'Calendário'!$K$9:$K$214,"Publicado")+COUNTIFS('Calendário'!$B$9:$B$214,$C37,'Calendário'!$M$9:$M$214,"Publicado")+COUNTIFS('Calendário'!$B$9:$B$214,$C37,'Calendário'!$N$9:$N$214,"Publicado")+COUNTIFS('Calendário'!$B$9:$B$214,$C37,'Calendário'!$O$9:$O$214,"Publicado"))&amp;" de "&amp;(5-COUNTIFS('Calendário'!$B$9:$B$214,$C37,'Calendário'!$N$9:$N$214,"Não se aplica")-COUNTIFS('Calendário'!$B$9:$B$214,$C37,'Calendário'!$O$9:$O$214,"Não se aplica"))</x:f>
        <x:v>0 de 3</x:v>
      </x:c>
      <x:c r="M37" s="87" t="str">
        <x:f>(COUNTIFS('Calendário'!$B$9:$B$214,$C37,'Calendário'!$J$9:$J$214,"Publicado")+COUNTIFS('Calendário'!$B$9:$B$214,$C37,'Calendário'!$K$9:$K$214,"Publicado")+COUNTIFS('Calendário'!$B$9:$B$214,$C37,'Calendário'!$M$9:$M$214,"Publicado")+COUNTIFS('Calendário'!$B$9:$B$214,$C37,'Calendário'!$N$9:$N$214,"Publicado")+COUNTIFS('Calendário'!$B$9:$B$214,$C37,'Calendário'!$O$9:$O$214,"Publicado"))&amp;" de "&amp;(5-COUNTIFS('Calendário'!$B$9:$B$214,$C37,'Calendário'!$N$9:$N$214,"Não se aplica")-COUNTIFS('Calendário'!$B$9:$B$214,$C37,'Calendário'!$O$9:$O$214,"Não se aplica"))</x:f>
        <x:v>0 de 3</x:v>
      </x:c>
      <x:c r="N37" s="75"/>
      <x:c r="O37" s="75"/>
      <x:c r="P37" s="61"/>
    </x:row>
    <x:row r="38" ht="57" customHeight="1">
      <x:c r="A38" s="61"/>
      <x:c r="B38" s="69" t="str">
        <x:f>TEXT(D38,"yyyy-mm")</x:f>
        <x:v>2026-11</x:v>
      </x:c>
      <x:c r="C38" s="72" t="str">
        <x:v>P30</x:v>
      </x:c>
      <x:c r="D38" s="90" t="n">
        <x:f>INDEX('Calendário'!$C$9:$C$214,MATCH($C38,'Calendário'!$B$9:$B$214,0))</x:f>
        <x:v>46330.5</x:v>
      </x:c>
      <x:c r="E38" s="69" t="str">
        <x:f>INDEX('Calendário'!$F$9:$F$214,MATCH($C38,'Calendário'!$B$9:$B$214,0))</x:f>
        <x:v>Reel</x:v>
      </x:c>
      <x:c r="F38" s="69" t="str">
        <x:f>INDEX('Calendário'!$G$9:$G$214,MATCH($C38,'Calendário'!$B$9:$B$214,0))</x:f>
        <x:v>Exemplo prático: referências de posição.</x:v>
      </x:c>
      <x:c r="G38" s="78" t="str">
        <x:f>IF(INDEX('Calendário'!$P$9:$P$214,MATCH($C38,'Calendário'!$B$9:$B$214,0))="","",INDEX('Calendário'!$P$9:$P$214,MATCH($C38,'Calendário'!$B$9:$B$214,0)))</x:f>
      </x:c>
      <x:c r="H38" s="75" t="str">
        <x:v>Não iniciada</x:v>
      </x:c>
      <x:c r="I38" s="75" t="str">
        <x:v>Não iniciado</x:v>
      </x:c>
      <x:c r="J38" s="75" t="str">
        <x:v>Pendente</x:v>
      </x:c>
      <x:c r="K38" s="75" t="str">
        <x:v>Pendente</x:v>
      </x:c>
      <x:c r="L38" s="87" t="str">
        <x:f>(COUNTIFS('Calendário'!$B$9:$B$214,$C38,'Calendário'!$J$9:$J$214,"Agendado")+COUNTIFS('Calendário'!$B$9:$B$214,$C38,'Calendário'!$K$9:$K$214,"Agendado")+COUNTIFS('Calendário'!$B$9:$B$214,$C38,'Calendário'!$M$9:$M$214,"Agendado")+COUNTIFS('Calendário'!$B$9:$B$214,$C38,'Calendário'!$N$9:$N$214,"Agendado")+COUNTIFS('Calendário'!$B$9:$B$214,$C38,'Calendário'!$O$9:$O$214,"Agendado")+COUNTIFS('Calendário'!$B$9:$B$214,$C38,'Calendário'!$J$9:$J$214,"Publicado")+COUNTIFS('Calendário'!$B$9:$B$214,$C38,'Calendário'!$K$9:$K$214,"Publicado")+COUNTIFS('Calendário'!$B$9:$B$214,$C38,'Calendário'!$M$9:$M$214,"Publicado")+COUNTIFS('Calendário'!$B$9:$B$214,$C38,'Calendário'!$N$9:$N$214,"Publicado")+COUNTIFS('Calendário'!$B$9:$B$214,$C38,'Calendário'!$O$9:$O$214,"Publicado"))&amp;" de "&amp;(5-COUNTIFS('Calendário'!$B$9:$B$214,$C38,'Calendário'!$N$9:$N$214,"Não se aplica")-COUNTIFS('Calendário'!$B$9:$B$214,$C38,'Calendário'!$O$9:$O$214,"Não se aplica"))</x:f>
        <x:v>0 de 5</x:v>
      </x:c>
      <x:c r="M38" s="87" t="str">
        <x:f>(COUNTIFS('Calendário'!$B$9:$B$214,$C38,'Calendário'!$J$9:$J$214,"Publicado")+COUNTIFS('Calendário'!$B$9:$B$214,$C38,'Calendário'!$K$9:$K$214,"Publicado")+COUNTIFS('Calendário'!$B$9:$B$214,$C38,'Calendário'!$M$9:$M$214,"Publicado")+COUNTIFS('Calendário'!$B$9:$B$214,$C38,'Calendário'!$N$9:$N$214,"Publicado")+COUNTIFS('Calendário'!$B$9:$B$214,$C38,'Calendário'!$O$9:$O$214,"Publicado"))&amp;" de "&amp;(5-COUNTIFS('Calendário'!$B$9:$B$214,$C38,'Calendário'!$N$9:$N$214,"Não se aplica")-COUNTIFS('Calendário'!$B$9:$B$214,$C38,'Calendário'!$O$9:$O$214,"Não se aplica"))</x:f>
        <x:v>0 de 5</x:v>
      </x:c>
      <x:c r="N38" s="75"/>
      <x:c r="O38" s="75"/>
      <x:c r="P38" s="61"/>
    </x:row>
    <x:row r="39" ht="57" customHeight="1">
      <x:c r="A39" s="61"/>
      <x:c r="B39" s="69" t="str">
        <x:f>TEXT(D39,"yyyy-mm")</x:f>
        <x:v>2026-11</x:v>
      </x:c>
      <x:c r="C39" s="72" t="str">
        <x:v>P31</x:v>
      </x:c>
      <x:c r="D39" s="90" t="n">
        <x:f>INDEX('Calendário'!$C$9:$C$214,MATCH($C39,'Calendário'!$B$9:$B$214,0))</x:f>
        <x:v>46332.5</x:v>
      </x:c>
      <x:c r="E39" s="69" t="str">
        <x:f>INDEX('Calendário'!$F$9:$F$214,MATCH($C39,'Calendário'!$B$9:$B$214,0))</x:f>
        <x:v>Carrossel</x:v>
      </x:c>
      <x:c r="F39" s="69" t="str">
        <x:f>INDEX('Calendário'!$G$9:$G$214,MATCH($C39,'Calendário'!$B$9:$B$214,0))</x:f>
        <x:v>Checklist: referências de posição.</x:v>
      </x:c>
      <x:c r="G39" s="78" t="str">
        <x:f>IF(INDEX('Calendário'!$P$9:$P$214,MATCH($C39,'Calendário'!$B$9:$B$214,0))="","",INDEX('Calendário'!$P$9:$P$214,MATCH($C39,'Calendário'!$B$9:$B$214,0)))</x:f>
      </x:c>
      <x:c r="H39" s="75" t="str">
        <x:v>Não iniciada</x:v>
      </x:c>
      <x:c r="I39" s="75" t="str">
        <x:v>Não se aplica</x:v>
      </x:c>
      <x:c r="J39" s="75" t="str">
        <x:v>Pendente</x:v>
      </x:c>
      <x:c r="K39" s="75" t="str">
        <x:v>Pendente</x:v>
      </x:c>
      <x:c r="L39" s="87" t="str">
        <x:f>(COUNTIFS('Calendário'!$B$9:$B$214,$C39,'Calendário'!$J$9:$J$214,"Agendado")+COUNTIFS('Calendário'!$B$9:$B$214,$C39,'Calendário'!$K$9:$K$214,"Agendado")+COUNTIFS('Calendário'!$B$9:$B$214,$C39,'Calendário'!$M$9:$M$214,"Agendado")+COUNTIFS('Calendário'!$B$9:$B$214,$C39,'Calendário'!$N$9:$N$214,"Agendado")+COUNTIFS('Calendário'!$B$9:$B$214,$C39,'Calendário'!$O$9:$O$214,"Agendado")+COUNTIFS('Calendário'!$B$9:$B$214,$C39,'Calendário'!$J$9:$J$214,"Publicado")+COUNTIFS('Calendário'!$B$9:$B$214,$C39,'Calendário'!$K$9:$K$214,"Publicado")+COUNTIFS('Calendário'!$B$9:$B$214,$C39,'Calendário'!$M$9:$M$214,"Publicado")+COUNTIFS('Calendário'!$B$9:$B$214,$C39,'Calendário'!$N$9:$N$214,"Publicado")+COUNTIFS('Calendário'!$B$9:$B$214,$C39,'Calendário'!$O$9:$O$214,"Publicado"))&amp;" de "&amp;(5-COUNTIFS('Calendário'!$B$9:$B$214,$C39,'Calendário'!$N$9:$N$214,"Não se aplica")-COUNTIFS('Calendário'!$B$9:$B$214,$C39,'Calendário'!$O$9:$O$214,"Não se aplica"))</x:f>
        <x:v>0 de 3</x:v>
      </x:c>
      <x:c r="M39" s="87" t="str">
        <x:f>(COUNTIFS('Calendário'!$B$9:$B$214,$C39,'Calendário'!$J$9:$J$214,"Publicado")+COUNTIFS('Calendário'!$B$9:$B$214,$C39,'Calendário'!$K$9:$K$214,"Publicado")+COUNTIFS('Calendário'!$B$9:$B$214,$C39,'Calendário'!$M$9:$M$214,"Publicado")+COUNTIFS('Calendário'!$B$9:$B$214,$C39,'Calendário'!$N$9:$N$214,"Publicado")+COUNTIFS('Calendário'!$B$9:$B$214,$C39,'Calendário'!$O$9:$O$214,"Publicado"))&amp;" de "&amp;(5-COUNTIFS('Calendário'!$B$9:$B$214,$C39,'Calendário'!$N$9:$N$214,"Não se aplica")-COUNTIFS('Calendário'!$B$9:$B$214,$C39,'Calendário'!$O$9:$O$214,"Não se aplica"))</x:f>
        <x:v>0 de 3</x:v>
      </x:c>
      <x:c r="N39" s="75"/>
      <x:c r="O39" s="75"/>
      <x:c r="P39" s="61"/>
    </x:row>
    <x:row r="40" ht="57" customHeight="1">
      <x:c r="A40" s="61"/>
      <x:c r="B40" s="69" t="str">
        <x:f>TEXT(D40,"yyyy-mm")</x:f>
        <x:v>2026-11</x:v>
      </x:c>
      <x:c r="C40" s="72" t="str">
        <x:v>P32</x:v>
      </x:c>
      <x:c r="D40" s="90" t="n">
        <x:f>INDEX('Calendário'!$C$9:$C$214,MATCH($C40,'Calendário'!$B$9:$B$214,0))</x:f>
        <x:v>46333.5</x:v>
      </x:c>
      <x:c r="E40" s="69" t="str">
        <x:f>INDEX('Calendário'!$F$9:$F$214,MATCH($C40,'Calendário'!$B$9:$B$214,0))</x:f>
        <x:v>Estático</x:v>
      </x:c>
      <x:c r="F40" s="69" t="str">
        <x:f>INDEX('Calendário'!$G$9:$G$214,MATCH($C40,'Calendário'!$B$9:$B$214,0))</x:f>
        <x:v>Converse com a Arxis sobre referências de
posição.</x:v>
      </x:c>
      <x:c r="G40" s="78" t="str">
        <x:f>IF(INDEX('Calendário'!$P$9:$P$214,MATCH($C40,'Calendário'!$B$9:$B$214,0))="","",INDEX('Calendário'!$P$9:$P$214,MATCH($C40,'Calendário'!$B$9:$B$214,0)))</x:f>
      </x:c>
      <x:c r="H40" s="75" t="str">
        <x:v>Não iniciada</x:v>
      </x:c>
      <x:c r="I40" s="75" t="str">
        <x:v>Não se aplica</x:v>
      </x:c>
      <x:c r="J40" s="75" t="str">
        <x:v>Pendente</x:v>
      </x:c>
      <x:c r="K40" s="75" t="str">
        <x:v>Pendente</x:v>
      </x:c>
      <x:c r="L40" s="87" t="str">
        <x:f>(COUNTIFS('Calendário'!$B$9:$B$214,$C40,'Calendário'!$J$9:$J$214,"Agendado")+COUNTIFS('Calendário'!$B$9:$B$214,$C40,'Calendário'!$K$9:$K$214,"Agendado")+COUNTIFS('Calendário'!$B$9:$B$214,$C40,'Calendário'!$M$9:$M$214,"Agendado")+COUNTIFS('Calendário'!$B$9:$B$214,$C40,'Calendário'!$N$9:$N$214,"Agendado")+COUNTIFS('Calendário'!$B$9:$B$214,$C40,'Calendário'!$O$9:$O$214,"Agendado")+COUNTIFS('Calendário'!$B$9:$B$214,$C40,'Calendário'!$J$9:$J$214,"Publicado")+COUNTIFS('Calendário'!$B$9:$B$214,$C40,'Calendário'!$K$9:$K$214,"Publicado")+COUNTIFS('Calendário'!$B$9:$B$214,$C40,'Calendário'!$M$9:$M$214,"Publicado")+COUNTIFS('Calendário'!$B$9:$B$214,$C40,'Calendário'!$N$9:$N$214,"Publicado")+COUNTIFS('Calendário'!$B$9:$B$214,$C40,'Calendário'!$O$9:$O$214,"Publicado"))&amp;" de "&amp;(5-COUNTIFS('Calendário'!$B$9:$B$214,$C40,'Calendário'!$N$9:$N$214,"Não se aplica")-COUNTIFS('Calendário'!$B$9:$B$214,$C40,'Calendário'!$O$9:$O$214,"Não se aplica"))</x:f>
        <x:v>0 de 3</x:v>
      </x:c>
      <x:c r="M40" s="87" t="str">
        <x:f>(COUNTIFS('Calendário'!$B$9:$B$214,$C40,'Calendário'!$J$9:$J$214,"Publicado")+COUNTIFS('Calendário'!$B$9:$B$214,$C40,'Calendário'!$K$9:$K$214,"Publicado")+COUNTIFS('Calendário'!$B$9:$B$214,$C40,'Calendário'!$M$9:$M$214,"Publicado")+COUNTIFS('Calendário'!$B$9:$B$214,$C40,'Calendário'!$N$9:$N$214,"Publicado")+COUNTIFS('Calendário'!$B$9:$B$214,$C40,'Calendário'!$O$9:$O$214,"Publicado"))&amp;" de "&amp;(5-COUNTIFS('Calendário'!$B$9:$B$214,$C40,'Calendário'!$N$9:$N$214,"Não se aplica")-COUNTIFS('Calendário'!$B$9:$B$214,$C40,'Calendário'!$O$9:$O$214,"Não se aplica"))</x:f>
        <x:v>0 de 3</x:v>
      </x:c>
      <x:c r="N40" s="75"/>
      <x:c r="O40" s="75"/>
      <x:c r="P40" s="61"/>
    </x:row>
    <x:row r="41" ht="57" customHeight="1">
      <x:c r="A41" s="61"/>
      <x:c r="B41" s="69" t="str">
        <x:f>TEXT(D41,"yyyy-mm")</x:f>
        <x:v>2026-11</x:v>
      </x:c>
      <x:c r="C41" s="72" t="str">
        <x:v>P33</x:v>
      </x:c>
      <x:c r="D41" s="90" t="n">
        <x:f>INDEX('Calendário'!$C$9:$C$214,MATCH($C41,'Calendário'!$B$9:$B$214,0))</x:f>
        <x:v>46335.5</x:v>
      </x:c>
      <x:c r="E41" s="69" t="str">
        <x:f>INDEX('Calendário'!$F$9:$F$214,MATCH($C41,'Calendário'!$B$9:$B$214,0))</x:f>
        <x:v>Carrossel</x:v>
      </x:c>
      <x:c r="F41" s="69" t="str">
        <x:f>INDEX('Calendário'!$G$9:$G$214,MATCH($C41,'Calendário'!$B$9:$B$214,0))</x:f>
        <x:v>Qual versão sustenta esta análise?</x:v>
      </x:c>
      <x:c r="G41" s="78" t="str">
        <x:f>IF(INDEX('Calendário'!$P$9:$P$214,MATCH($C41,'Calendário'!$B$9:$B$214,0))="","",INDEX('Calendário'!$P$9:$P$214,MATCH($C41,'Calendário'!$B$9:$B$214,0)))</x:f>
      </x:c>
      <x:c r="H41" s="75" t="str">
        <x:v>Não iniciada</x:v>
      </x:c>
      <x:c r="I41" s="75" t="str">
        <x:v>Não se aplica</x:v>
      </x:c>
      <x:c r="J41" s="75" t="str">
        <x:v>Pendente</x:v>
      </x:c>
      <x:c r="K41" s="75" t="str">
        <x:v>Pendente</x:v>
      </x:c>
      <x:c r="L41" s="87" t="str">
        <x:f>(COUNTIFS('Calendário'!$B$9:$B$214,$C41,'Calendário'!$J$9:$J$214,"Agendado")+COUNTIFS('Calendário'!$B$9:$B$214,$C41,'Calendário'!$K$9:$K$214,"Agendado")+COUNTIFS('Calendário'!$B$9:$B$214,$C41,'Calendário'!$M$9:$M$214,"Agendado")+COUNTIFS('Calendário'!$B$9:$B$214,$C41,'Calendário'!$N$9:$N$214,"Agendado")+COUNTIFS('Calendário'!$B$9:$B$214,$C41,'Calendário'!$O$9:$O$214,"Agendado")+COUNTIFS('Calendário'!$B$9:$B$214,$C41,'Calendário'!$J$9:$J$214,"Publicado")+COUNTIFS('Calendário'!$B$9:$B$214,$C41,'Calendário'!$K$9:$K$214,"Publicado")+COUNTIFS('Calendário'!$B$9:$B$214,$C41,'Calendário'!$M$9:$M$214,"Publicado")+COUNTIFS('Calendário'!$B$9:$B$214,$C41,'Calendário'!$N$9:$N$214,"Publicado")+COUNTIFS('Calendário'!$B$9:$B$214,$C41,'Calendário'!$O$9:$O$214,"Publicado"))&amp;" de "&amp;(5-COUNTIFS('Calendário'!$B$9:$B$214,$C41,'Calendário'!$N$9:$N$214,"Não se aplica")-COUNTIFS('Calendário'!$B$9:$B$214,$C41,'Calendário'!$O$9:$O$214,"Não se aplica"))</x:f>
        <x:v>0 de 3</x:v>
      </x:c>
      <x:c r="M41" s="87" t="str">
        <x:f>(COUNTIFS('Calendário'!$B$9:$B$214,$C41,'Calendário'!$J$9:$J$214,"Publicado")+COUNTIFS('Calendário'!$B$9:$B$214,$C41,'Calendário'!$K$9:$K$214,"Publicado")+COUNTIFS('Calendário'!$B$9:$B$214,$C41,'Calendário'!$M$9:$M$214,"Publicado")+COUNTIFS('Calendário'!$B$9:$B$214,$C41,'Calendário'!$N$9:$N$214,"Publicado")+COUNTIFS('Calendário'!$B$9:$B$214,$C41,'Calendário'!$O$9:$O$214,"Publicado"))&amp;" de "&amp;(5-COUNTIFS('Calendário'!$B$9:$B$214,$C41,'Calendário'!$N$9:$N$214,"Não se aplica")-COUNTIFS('Calendário'!$B$9:$B$214,$C41,'Calendário'!$O$9:$O$214,"Não se aplica"))</x:f>
        <x:v>0 de 3</x:v>
      </x:c>
      <x:c r="N41" s="75"/>
      <x:c r="O41" s="75"/>
      <x:c r="P41" s="61"/>
    </x:row>
    <x:row r="42" ht="57" customHeight="1">
      <x:c r="A42" s="61"/>
      <x:c r="B42" s="69" t="str">
        <x:f>TEXT(D42,"yyyy-mm")</x:f>
        <x:v>2026-11</x:v>
      </x:c>
      <x:c r="C42" s="72" t="str">
        <x:v>P34</x:v>
      </x:c>
      <x:c r="D42" s="90" t="n">
        <x:f>INDEX('Calendário'!$C$9:$C$214,MATCH($C42,'Calendário'!$B$9:$B$214,0))</x:f>
        <x:v>46337.5</x:v>
      </x:c>
      <x:c r="E42" s="69" t="str">
        <x:f>INDEX('Calendário'!$F$9:$F$214,MATCH($C42,'Calendário'!$B$9:$B$214,0))</x:f>
        <x:v>Reel</x:v>
      </x:c>
      <x:c r="F42" s="69" t="str">
        <x:f>INDEX('Calendário'!$G$9:$G$214,MATCH($C42,'Calendário'!$B$9:$B$214,0))</x:f>
        <x:v>Exemplo prático: versões em revisão.</x:v>
      </x:c>
      <x:c r="G42" s="78" t="str">
        <x:f>IF(INDEX('Calendário'!$P$9:$P$214,MATCH($C42,'Calendário'!$B$9:$B$214,0))="","",INDEX('Calendário'!$P$9:$P$214,MATCH($C42,'Calendário'!$B$9:$B$214,0)))</x:f>
      </x:c>
      <x:c r="H42" s="75" t="str">
        <x:v>Não iniciada</x:v>
      </x:c>
      <x:c r="I42" s="75" t="str">
        <x:v>Não iniciado</x:v>
      </x:c>
      <x:c r="J42" s="75" t="str">
        <x:v>Pendente</x:v>
      </x:c>
      <x:c r="K42" s="75" t="str">
        <x:v>Pendente</x:v>
      </x:c>
      <x:c r="L42" s="87" t="str">
        <x:f>(COUNTIFS('Calendário'!$B$9:$B$214,$C42,'Calendário'!$J$9:$J$214,"Agendado")+COUNTIFS('Calendário'!$B$9:$B$214,$C42,'Calendário'!$K$9:$K$214,"Agendado")+COUNTIFS('Calendário'!$B$9:$B$214,$C42,'Calendário'!$M$9:$M$214,"Agendado")+COUNTIFS('Calendário'!$B$9:$B$214,$C42,'Calendário'!$N$9:$N$214,"Agendado")+COUNTIFS('Calendário'!$B$9:$B$214,$C42,'Calendário'!$O$9:$O$214,"Agendado")+COUNTIFS('Calendário'!$B$9:$B$214,$C42,'Calendário'!$J$9:$J$214,"Publicado")+COUNTIFS('Calendário'!$B$9:$B$214,$C42,'Calendário'!$K$9:$K$214,"Publicado")+COUNTIFS('Calendário'!$B$9:$B$214,$C42,'Calendário'!$M$9:$M$214,"Publicado")+COUNTIFS('Calendário'!$B$9:$B$214,$C42,'Calendário'!$N$9:$N$214,"Publicado")+COUNTIFS('Calendário'!$B$9:$B$214,$C42,'Calendário'!$O$9:$O$214,"Publicado"))&amp;" de "&amp;(5-COUNTIFS('Calendário'!$B$9:$B$214,$C42,'Calendário'!$N$9:$N$214,"Não se aplica")-COUNTIFS('Calendário'!$B$9:$B$214,$C42,'Calendário'!$O$9:$O$214,"Não se aplica"))</x:f>
        <x:v>0 de 5</x:v>
      </x:c>
      <x:c r="M42" s="87" t="str">
        <x:f>(COUNTIFS('Calendário'!$B$9:$B$214,$C42,'Calendário'!$J$9:$J$214,"Publicado")+COUNTIFS('Calendário'!$B$9:$B$214,$C42,'Calendário'!$K$9:$K$214,"Publicado")+COUNTIFS('Calendário'!$B$9:$B$214,$C42,'Calendário'!$M$9:$M$214,"Publicado")+COUNTIFS('Calendário'!$B$9:$B$214,$C42,'Calendário'!$N$9:$N$214,"Publicado")+COUNTIFS('Calendário'!$B$9:$B$214,$C42,'Calendário'!$O$9:$O$214,"Publicado"))&amp;" de "&amp;(5-COUNTIFS('Calendário'!$B$9:$B$214,$C42,'Calendário'!$N$9:$N$214,"Não se aplica")-COUNTIFS('Calendário'!$B$9:$B$214,$C42,'Calendário'!$O$9:$O$214,"Não se aplica"))</x:f>
        <x:v>0 de 5</x:v>
      </x:c>
      <x:c r="N42" s="75"/>
      <x:c r="O42" s="75"/>
      <x:c r="P42" s="61"/>
    </x:row>
    <x:row r="43" ht="57" customHeight="1">
      <x:c r="A43" s="61"/>
      <x:c r="B43" s="69" t="str">
        <x:f>TEXT(D43,"yyyy-mm")</x:f>
        <x:v>2026-11</x:v>
      </x:c>
      <x:c r="C43" s="72" t="str">
        <x:v>P35</x:v>
      </x:c>
      <x:c r="D43" s="90" t="n">
        <x:f>INDEX('Calendário'!$C$9:$C$214,MATCH($C43,'Calendário'!$B$9:$B$214,0))</x:f>
        <x:v>46339.5</x:v>
      </x:c>
      <x:c r="E43" s="69" t="str">
        <x:f>INDEX('Calendário'!$F$9:$F$214,MATCH($C43,'Calendário'!$B$9:$B$214,0))</x:f>
        <x:v>Carrossel</x:v>
      </x:c>
      <x:c r="F43" s="69" t="str">
        <x:f>INDEX('Calendário'!$G$9:$G$214,MATCH($C43,'Calendário'!$B$9:$B$214,0))</x:f>
        <x:v>Checklist: versões em revisão.</x:v>
      </x:c>
      <x:c r="G43" s="78" t="str">
        <x:f>IF(INDEX('Calendário'!$P$9:$P$214,MATCH($C43,'Calendário'!$B$9:$B$214,0))="","",INDEX('Calendário'!$P$9:$P$214,MATCH($C43,'Calendário'!$B$9:$B$214,0)))</x:f>
      </x:c>
      <x:c r="H43" s="75" t="str">
        <x:v>Não iniciada</x:v>
      </x:c>
      <x:c r="I43" s="75" t="str">
        <x:v>Não se aplica</x:v>
      </x:c>
      <x:c r="J43" s="75" t="str">
        <x:v>Pendente</x:v>
      </x:c>
      <x:c r="K43" s="75" t="str">
        <x:v>Pendente</x:v>
      </x:c>
      <x:c r="L43" s="87" t="str">
        <x:f>(COUNTIFS('Calendário'!$B$9:$B$214,$C43,'Calendário'!$J$9:$J$214,"Agendado")+COUNTIFS('Calendário'!$B$9:$B$214,$C43,'Calendário'!$K$9:$K$214,"Agendado")+COUNTIFS('Calendário'!$B$9:$B$214,$C43,'Calendário'!$M$9:$M$214,"Agendado")+COUNTIFS('Calendário'!$B$9:$B$214,$C43,'Calendário'!$N$9:$N$214,"Agendado")+COUNTIFS('Calendário'!$B$9:$B$214,$C43,'Calendário'!$O$9:$O$214,"Agendado")+COUNTIFS('Calendário'!$B$9:$B$214,$C43,'Calendário'!$J$9:$J$214,"Publicado")+COUNTIFS('Calendário'!$B$9:$B$214,$C43,'Calendário'!$K$9:$K$214,"Publicado")+COUNTIFS('Calendário'!$B$9:$B$214,$C43,'Calendário'!$M$9:$M$214,"Publicado")+COUNTIFS('Calendário'!$B$9:$B$214,$C43,'Calendário'!$N$9:$N$214,"Publicado")+COUNTIFS('Calendário'!$B$9:$B$214,$C43,'Calendário'!$O$9:$O$214,"Publicado"))&amp;" de "&amp;(5-COUNTIFS('Calendário'!$B$9:$B$214,$C43,'Calendário'!$N$9:$N$214,"Não se aplica")-COUNTIFS('Calendário'!$B$9:$B$214,$C43,'Calendário'!$O$9:$O$214,"Não se aplica"))</x:f>
        <x:v>0 de 3</x:v>
      </x:c>
      <x:c r="M43" s="87" t="str">
        <x:f>(COUNTIFS('Calendário'!$B$9:$B$214,$C43,'Calendário'!$J$9:$J$214,"Publicado")+COUNTIFS('Calendário'!$B$9:$B$214,$C43,'Calendário'!$K$9:$K$214,"Publicado")+COUNTIFS('Calendário'!$B$9:$B$214,$C43,'Calendário'!$M$9:$M$214,"Publicado")+COUNTIFS('Calendário'!$B$9:$B$214,$C43,'Calendário'!$N$9:$N$214,"Publicado")+COUNTIFS('Calendário'!$B$9:$B$214,$C43,'Calendário'!$O$9:$O$214,"Publicado"))&amp;" de "&amp;(5-COUNTIFS('Calendário'!$B$9:$B$214,$C43,'Calendário'!$N$9:$N$214,"Não se aplica")-COUNTIFS('Calendário'!$B$9:$B$214,$C43,'Calendário'!$O$9:$O$214,"Não se aplica"))</x:f>
        <x:v>0 de 3</x:v>
      </x:c>
      <x:c r="N43" s="75"/>
      <x:c r="O43" s="75"/>
      <x:c r="P43" s="61"/>
    </x:row>
    <x:row r="44" ht="57" customHeight="1">
      <x:c r="A44" s="61"/>
      <x:c r="B44" s="69" t="str">
        <x:f>TEXT(D44,"yyyy-mm")</x:f>
        <x:v>2026-11</x:v>
      </x:c>
      <x:c r="C44" s="72" t="str">
        <x:v>P36</x:v>
      </x:c>
      <x:c r="D44" s="90" t="n">
        <x:f>INDEX('Calendário'!$C$9:$C$214,MATCH($C44,'Calendário'!$B$9:$B$214,0))</x:f>
        <x:v>46340.5</x:v>
      </x:c>
      <x:c r="E44" s="69" t="str">
        <x:f>INDEX('Calendário'!$F$9:$F$214,MATCH($C44,'Calendário'!$B$9:$B$214,0))</x:f>
        <x:v>Estático</x:v>
      </x:c>
      <x:c r="F44" s="69" t="str">
        <x:f>INDEX('Calendário'!$G$9:$G$214,MATCH($C44,'Calendário'!$B$9:$B$214,0))</x:f>
        <x:v>Onde você confere a versão antes de
revisar?</x:v>
      </x:c>
      <x:c r="G44" s="78" t="str">
        <x:f>IF(INDEX('Calendário'!$P$9:$P$214,MATCH($C44,'Calendário'!$B$9:$B$214,0))="","",INDEX('Calendário'!$P$9:$P$214,MATCH($C44,'Calendário'!$B$9:$B$214,0)))</x:f>
      </x:c>
      <x:c r="H44" s="75" t="str">
        <x:v>Não iniciada</x:v>
      </x:c>
      <x:c r="I44" s="75" t="str">
        <x:v>Não se aplica</x:v>
      </x:c>
      <x:c r="J44" s="75" t="str">
        <x:v>Pendente</x:v>
      </x:c>
      <x:c r="K44" s="75" t="str">
        <x:v>Pendente</x:v>
      </x:c>
      <x:c r="L44" s="87" t="str">
        <x:f>(COUNTIFS('Calendário'!$B$9:$B$214,$C44,'Calendário'!$J$9:$J$214,"Agendado")+COUNTIFS('Calendário'!$B$9:$B$214,$C44,'Calendário'!$K$9:$K$214,"Agendado")+COUNTIFS('Calendário'!$B$9:$B$214,$C44,'Calendário'!$M$9:$M$214,"Agendado")+COUNTIFS('Calendário'!$B$9:$B$214,$C44,'Calendário'!$N$9:$N$214,"Agendado")+COUNTIFS('Calendário'!$B$9:$B$214,$C44,'Calendário'!$O$9:$O$214,"Agendado")+COUNTIFS('Calendário'!$B$9:$B$214,$C44,'Calendário'!$J$9:$J$214,"Publicado")+COUNTIFS('Calendário'!$B$9:$B$214,$C44,'Calendário'!$K$9:$K$214,"Publicado")+COUNTIFS('Calendário'!$B$9:$B$214,$C44,'Calendário'!$M$9:$M$214,"Publicado")+COUNTIFS('Calendário'!$B$9:$B$214,$C44,'Calendário'!$N$9:$N$214,"Publicado")+COUNTIFS('Calendário'!$B$9:$B$214,$C44,'Calendário'!$O$9:$O$214,"Publicado"))&amp;" de "&amp;(5-COUNTIFS('Calendário'!$B$9:$B$214,$C44,'Calendário'!$N$9:$N$214,"Não se aplica")-COUNTIFS('Calendário'!$B$9:$B$214,$C44,'Calendário'!$O$9:$O$214,"Não se aplica"))</x:f>
        <x:v>0 de 3</x:v>
      </x:c>
      <x:c r="M44" s="87" t="str">
        <x:f>(COUNTIFS('Calendário'!$B$9:$B$214,$C44,'Calendário'!$J$9:$J$214,"Publicado")+COUNTIFS('Calendário'!$B$9:$B$214,$C44,'Calendário'!$K$9:$K$214,"Publicado")+COUNTIFS('Calendário'!$B$9:$B$214,$C44,'Calendário'!$M$9:$M$214,"Publicado")+COUNTIFS('Calendário'!$B$9:$B$214,$C44,'Calendário'!$N$9:$N$214,"Publicado")+COUNTIFS('Calendário'!$B$9:$B$214,$C44,'Calendário'!$O$9:$O$214,"Publicado"))&amp;" de "&amp;(5-COUNTIFS('Calendário'!$B$9:$B$214,$C44,'Calendário'!$N$9:$N$214,"Não se aplica")-COUNTIFS('Calendário'!$B$9:$B$214,$C44,'Calendário'!$O$9:$O$214,"Não se aplica"))</x:f>
        <x:v>0 de 3</x:v>
      </x:c>
      <x:c r="N44" s="75"/>
      <x:c r="O44" s="75"/>
      <x:c r="P44" s="61"/>
    </x:row>
    <x:row r="45" ht="57" customHeight="1">
      <x:c r="A45" s="61"/>
      <x:c r="B45" s="69" t="str">
        <x:f>TEXT(D45,"yyyy-mm")</x:f>
        <x:v>2026-11</x:v>
      </x:c>
      <x:c r="C45" s="72" t="str">
        <x:v>P37</x:v>
      </x:c>
      <x:c r="D45" s="90" t="n">
        <x:f>INDEX('Calendário'!$C$9:$C$214,MATCH($C45,'Calendário'!$B$9:$B$214,0))</x:f>
        <x:v>46342.5</x:v>
      </x:c>
      <x:c r="E45" s="69" t="str">
        <x:f>INDEX('Calendário'!$F$9:$F$214,MATCH($C45,'Calendário'!$B$9:$B$214,0))</x:f>
        <x:v>Carrossel</x:v>
      </x:c>
      <x:c r="F45" s="69" t="str">
        <x:f>INDEX('Calendário'!$G$9:$G$214,MATCH($C45,'Calendário'!$B$9:$B$214,0))</x:f>
        <x:v>A equipe consegue entender sua pendência?</x:v>
      </x:c>
      <x:c r="G45" s="78" t="str">
        <x:f>IF(INDEX('Calendário'!$P$9:$P$214,MATCH($C45,'Calendário'!$B$9:$B$214,0))="","",INDEX('Calendário'!$P$9:$P$214,MATCH($C45,'Calendário'!$B$9:$B$214,0)))</x:f>
      </x:c>
      <x:c r="H45" s="75" t="str">
        <x:v>Não iniciada</x:v>
      </x:c>
      <x:c r="I45" s="75" t="str">
        <x:v>Não se aplica</x:v>
      </x:c>
      <x:c r="J45" s="75" t="str">
        <x:v>Pendente</x:v>
      </x:c>
      <x:c r="K45" s="75" t="str">
        <x:v>Pendente</x:v>
      </x:c>
      <x:c r="L45" s="87" t="str">
        <x:f>(COUNTIFS('Calendário'!$B$9:$B$214,$C45,'Calendário'!$J$9:$J$214,"Agendado")+COUNTIFS('Calendário'!$B$9:$B$214,$C45,'Calendário'!$K$9:$K$214,"Agendado")+COUNTIFS('Calendário'!$B$9:$B$214,$C45,'Calendário'!$M$9:$M$214,"Agendado")+COUNTIFS('Calendário'!$B$9:$B$214,$C45,'Calendário'!$N$9:$N$214,"Agendado")+COUNTIFS('Calendário'!$B$9:$B$214,$C45,'Calendário'!$O$9:$O$214,"Agendado")+COUNTIFS('Calendário'!$B$9:$B$214,$C45,'Calendário'!$J$9:$J$214,"Publicado")+COUNTIFS('Calendário'!$B$9:$B$214,$C45,'Calendário'!$K$9:$K$214,"Publicado")+COUNTIFS('Calendário'!$B$9:$B$214,$C45,'Calendário'!$M$9:$M$214,"Publicado")+COUNTIFS('Calendário'!$B$9:$B$214,$C45,'Calendário'!$N$9:$N$214,"Publicado")+COUNTIFS('Calendário'!$B$9:$B$214,$C45,'Calendário'!$O$9:$O$214,"Publicado"))&amp;" de "&amp;(5-COUNTIFS('Calendário'!$B$9:$B$214,$C45,'Calendário'!$N$9:$N$214,"Não se aplica")-COUNTIFS('Calendário'!$B$9:$B$214,$C45,'Calendário'!$O$9:$O$214,"Não se aplica"))</x:f>
        <x:v>0 de 3</x:v>
      </x:c>
      <x:c r="M45" s="87" t="str">
        <x:f>(COUNTIFS('Calendário'!$B$9:$B$214,$C45,'Calendário'!$J$9:$J$214,"Publicado")+COUNTIFS('Calendário'!$B$9:$B$214,$C45,'Calendário'!$K$9:$K$214,"Publicado")+COUNTIFS('Calendário'!$B$9:$B$214,$C45,'Calendário'!$M$9:$M$214,"Publicado")+COUNTIFS('Calendário'!$B$9:$B$214,$C45,'Calendário'!$N$9:$N$214,"Publicado")+COUNTIFS('Calendário'!$B$9:$B$214,$C45,'Calendário'!$O$9:$O$214,"Publicado"))&amp;" de "&amp;(5-COUNTIFS('Calendário'!$B$9:$B$214,$C45,'Calendário'!$N$9:$N$214,"Não se aplica")-COUNTIFS('Calendário'!$B$9:$B$214,$C45,'Calendário'!$O$9:$O$214,"Não se aplica"))</x:f>
        <x:v>0 de 3</x:v>
      </x:c>
      <x:c r="N45" s="75"/>
      <x:c r="O45" s="75"/>
      <x:c r="P45" s="61"/>
    </x:row>
    <x:row r="46" ht="57" customHeight="1">
      <x:c r="A46" s="61"/>
      <x:c r="B46" s="69" t="str">
        <x:f>TEXT(D46,"yyyy-mm")</x:f>
        <x:v>2026-11</x:v>
      </x:c>
      <x:c r="C46" s="72" t="str">
        <x:v>P38</x:v>
      </x:c>
      <x:c r="D46" s="90" t="n">
        <x:f>INDEX('Calendário'!$C$9:$C$214,MATCH($C46,'Calendário'!$B$9:$B$214,0))</x:f>
        <x:v>46344.5</x:v>
      </x:c>
      <x:c r="E46" s="69" t="str">
        <x:f>INDEX('Calendário'!$F$9:$F$214,MATCH($C46,'Calendário'!$B$9:$B$214,0))</x:f>
        <x:v>Reel</x:v>
      </x:c>
      <x:c r="F46" s="69" t="str">
        <x:f>INDEX('Calendário'!$G$9:$G$214,MATCH($C46,'Calendário'!$B$9:$B$214,0))</x:f>
        <x:v>Exemplo prático: descrição de pendências.</x:v>
      </x:c>
      <x:c r="G46" s="78" t="str">
        <x:f>IF(INDEX('Calendário'!$P$9:$P$214,MATCH($C46,'Calendário'!$B$9:$B$214,0))="","",INDEX('Calendário'!$P$9:$P$214,MATCH($C46,'Calendário'!$B$9:$B$214,0)))</x:f>
      </x:c>
      <x:c r="H46" s="75" t="str">
        <x:v>Não iniciada</x:v>
      </x:c>
      <x:c r="I46" s="75" t="str">
        <x:v>Não iniciado</x:v>
      </x:c>
      <x:c r="J46" s="75" t="str">
        <x:v>Pendente</x:v>
      </x:c>
      <x:c r="K46" s="75" t="str">
        <x:v>Pendente</x:v>
      </x:c>
      <x:c r="L46" s="87" t="str">
        <x:f>(COUNTIFS('Calendário'!$B$9:$B$214,$C46,'Calendário'!$J$9:$J$214,"Agendado")+COUNTIFS('Calendário'!$B$9:$B$214,$C46,'Calendário'!$K$9:$K$214,"Agendado")+COUNTIFS('Calendário'!$B$9:$B$214,$C46,'Calendário'!$M$9:$M$214,"Agendado")+COUNTIFS('Calendário'!$B$9:$B$214,$C46,'Calendário'!$N$9:$N$214,"Agendado")+COUNTIFS('Calendário'!$B$9:$B$214,$C46,'Calendário'!$O$9:$O$214,"Agendado")+COUNTIFS('Calendário'!$B$9:$B$214,$C46,'Calendário'!$J$9:$J$214,"Publicado")+COUNTIFS('Calendário'!$B$9:$B$214,$C46,'Calendário'!$K$9:$K$214,"Publicado")+COUNTIFS('Calendário'!$B$9:$B$214,$C46,'Calendário'!$M$9:$M$214,"Publicado")+COUNTIFS('Calendário'!$B$9:$B$214,$C46,'Calendário'!$N$9:$N$214,"Publicado")+COUNTIFS('Calendário'!$B$9:$B$214,$C46,'Calendário'!$O$9:$O$214,"Publicado"))&amp;" de "&amp;(5-COUNTIFS('Calendário'!$B$9:$B$214,$C46,'Calendário'!$N$9:$N$214,"Não se aplica")-COUNTIFS('Calendário'!$B$9:$B$214,$C46,'Calendário'!$O$9:$O$214,"Não se aplica"))</x:f>
        <x:v>0 de 5</x:v>
      </x:c>
      <x:c r="M46" s="87" t="str">
        <x:f>(COUNTIFS('Calendário'!$B$9:$B$214,$C46,'Calendário'!$J$9:$J$214,"Publicado")+COUNTIFS('Calendário'!$B$9:$B$214,$C46,'Calendário'!$K$9:$K$214,"Publicado")+COUNTIFS('Calendário'!$B$9:$B$214,$C46,'Calendário'!$M$9:$M$214,"Publicado")+COUNTIFS('Calendário'!$B$9:$B$214,$C46,'Calendário'!$N$9:$N$214,"Publicado")+COUNTIFS('Calendário'!$B$9:$B$214,$C46,'Calendário'!$O$9:$O$214,"Publicado"))&amp;" de "&amp;(5-COUNTIFS('Calendário'!$B$9:$B$214,$C46,'Calendário'!$N$9:$N$214,"Não se aplica")-COUNTIFS('Calendário'!$B$9:$B$214,$C46,'Calendário'!$O$9:$O$214,"Não se aplica"))</x:f>
        <x:v>0 de 5</x:v>
      </x:c>
      <x:c r="N46" s="75"/>
      <x:c r="O46" s="75"/>
      <x:c r="P46" s="61"/>
    </x:row>
    <x:row r="47" ht="57" customHeight="1">
      <x:c r="A47" s="61"/>
      <x:c r="B47" s="69" t="str">
        <x:f>TEXT(D47,"yyyy-mm")</x:f>
        <x:v>2026-11</x:v>
      </x:c>
      <x:c r="C47" s="72" t="str">
        <x:v>P39</x:v>
      </x:c>
      <x:c r="D47" s="90" t="n">
        <x:f>INDEX('Calendário'!$C$9:$C$214,MATCH($C47,'Calendário'!$B$9:$B$214,0))</x:f>
        <x:v>46346.5</x:v>
      </x:c>
      <x:c r="E47" s="69" t="str">
        <x:f>INDEX('Calendário'!$F$9:$F$214,MATCH($C47,'Calendário'!$B$9:$B$214,0))</x:f>
        <x:v>Carrossel</x:v>
      </x:c>
      <x:c r="F47" s="69" t="str">
        <x:f>INDEX('Calendário'!$G$9:$G$214,MATCH($C47,'Calendário'!$B$9:$B$214,0))</x:f>
        <x:v>Checklist: descrição de pendências.</x:v>
      </x:c>
      <x:c r="G47" s="78" t="str">
        <x:f>IF(INDEX('Calendário'!$P$9:$P$214,MATCH($C47,'Calendário'!$B$9:$B$214,0))="","",INDEX('Calendário'!$P$9:$P$214,MATCH($C47,'Calendário'!$B$9:$B$214,0)))</x:f>
      </x:c>
      <x:c r="H47" s="75" t="str">
        <x:v>Não iniciada</x:v>
      </x:c>
      <x:c r="I47" s="75" t="str">
        <x:v>Não se aplica</x:v>
      </x:c>
      <x:c r="J47" s="75" t="str">
        <x:v>Pendente</x:v>
      </x:c>
      <x:c r="K47" s="75" t="str">
        <x:v>Pendente</x:v>
      </x:c>
      <x:c r="L47" s="87" t="str">
        <x:f>(COUNTIFS('Calendário'!$B$9:$B$214,$C47,'Calendário'!$J$9:$J$214,"Agendado")+COUNTIFS('Calendário'!$B$9:$B$214,$C47,'Calendário'!$K$9:$K$214,"Agendado")+COUNTIFS('Calendário'!$B$9:$B$214,$C47,'Calendário'!$M$9:$M$214,"Agendado")+COUNTIFS('Calendário'!$B$9:$B$214,$C47,'Calendário'!$N$9:$N$214,"Agendado")+COUNTIFS('Calendário'!$B$9:$B$214,$C47,'Calendário'!$O$9:$O$214,"Agendado")+COUNTIFS('Calendário'!$B$9:$B$214,$C47,'Calendário'!$J$9:$J$214,"Publicado")+COUNTIFS('Calendário'!$B$9:$B$214,$C47,'Calendário'!$K$9:$K$214,"Publicado")+COUNTIFS('Calendário'!$B$9:$B$214,$C47,'Calendário'!$M$9:$M$214,"Publicado")+COUNTIFS('Calendário'!$B$9:$B$214,$C47,'Calendário'!$N$9:$N$214,"Publicado")+COUNTIFS('Calendário'!$B$9:$B$214,$C47,'Calendário'!$O$9:$O$214,"Publicado"))&amp;" de "&amp;(5-COUNTIFS('Calendário'!$B$9:$B$214,$C47,'Calendário'!$N$9:$N$214,"Não se aplica")-COUNTIFS('Calendário'!$B$9:$B$214,$C47,'Calendário'!$O$9:$O$214,"Não se aplica"))</x:f>
        <x:v>0 de 3</x:v>
      </x:c>
      <x:c r="M47" s="87" t="str">
        <x:f>(COUNTIFS('Calendário'!$B$9:$B$214,$C47,'Calendário'!$J$9:$J$214,"Publicado")+COUNTIFS('Calendário'!$B$9:$B$214,$C47,'Calendário'!$K$9:$K$214,"Publicado")+COUNTIFS('Calendário'!$B$9:$B$214,$C47,'Calendário'!$M$9:$M$214,"Publicado")+COUNTIFS('Calendário'!$B$9:$B$214,$C47,'Calendário'!$N$9:$N$214,"Publicado")+COUNTIFS('Calendário'!$B$9:$B$214,$C47,'Calendário'!$O$9:$O$214,"Publicado"))&amp;" de "&amp;(5-COUNTIFS('Calendário'!$B$9:$B$214,$C47,'Calendário'!$N$9:$N$214,"Não se aplica")-COUNTIFS('Calendário'!$B$9:$B$214,$C47,'Calendário'!$O$9:$O$214,"Não se aplica"))</x:f>
        <x:v>0 de 3</x:v>
      </x:c>
      <x:c r="N47" s="75"/>
      <x:c r="O47" s="75"/>
      <x:c r="P47" s="61"/>
    </x:row>
    <x:row r="48" ht="57" customHeight="1">
      <x:c r="A48" s="61"/>
      <x:c r="B48" s="69" t="str">
        <x:f>TEXT(D48,"yyyy-mm")</x:f>
        <x:v>2026-11</x:v>
      </x:c>
      <x:c r="C48" s="72" t="str">
        <x:v>P40</x:v>
      </x:c>
      <x:c r="D48" s="90" t="n">
        <x:f>INDEX('Calendário'!$C$9:$C$214,MATCH($C48,'Calendário'!$B$9:$B$214,0))</x:f>
        <x:v>46347.5</x:v>
      </x:c>
      <x:c r="E48" s="69" t="str">
        <x:f>INDEX('Calendário'!$F$9:$F$214,MATCH($C48,'Calendário'!$B$9:$B$214,0))</x:f>
        <x:v>Estático</x:v>
      </x:c>
      <x:c r="F48" s="69" t="str">
        <x:f>INDEX('Calendário'!$G$9:$G$214,MATCH($C48,'Calendário'!$B$9:$B$214,0))</x:f>
        <x:v>Qual informação mais falta nas pendências
que você recebe?</x:v>
      </x:c>
      <x:c r="G48" s="78" t="str">
        <x:f>IF(INDEX('Calendário'!$P$9:$P$214,MATCH($C48,'Calendário'!$B$9:$B$214,0))="","",INDEX('Calendário'!$P$9:$P$214,MATCH($C48,'Calendário'!$B$9:$B$214,0)))</x:f>
      </x:c>
      <x:c r="H48" s="75" t="str">
        <x:v>Não iniciada</x:v>
      </x:c>
      <x:c r="I48" s="75" t="str">
        <x:v>Não se aplica</x:v>
      </x:c>
      <x:c r="J48" s="75" t="str">
        <x:v>Pendente</x:v>
      </x:c>
      <x:c r="K48" s="75" t="str">
        <x:v>Pendente</x:v>
      </x:c>
      <x:c r="L48" s="87" t="str">
        <x:f>(COUNTIFS('Calendário'!$B$9:$B$214,$C48,'Calendário'!$J$9:$J$214,"Agendado")+COUNTIFS('Calendário'!$B$9:$B$214,$C48,'Calendário'!$K$9:$K$214,"Agendado")+COUNTIFS('Calendário'!$B$9:$B$214,$C48,'Calendário'!$M$9:$M$214,"Agendado")+COUNTIFS('Calendário'!$B$9:$B$214,$C48,'Calendário'!$N$9:$N$214,"Agendado")+COUNTIFS('Calendário'!$B$9:$B$214,$C48,'Calendário'!$O$9:$O$214,"Agendado")+COUNTIFS('Calendário'!$B$9:$B$214,$C48,'Calendário'!$J$9:$J$214,"Publicado")+COUNTIFS('Calendário'!$B$9:$B$214,$C48,'Calendário'!$K$9:$K$214,"Publicado")+COUNTIFS('Calendário'!$B$9:$B$214,$C48,'Calendário'!$M$9:$M$214,"Publicado")+COUNTIFS('Calendário'!$B$9:$B$214,$C48,'Calendário'!$N$9:$N$214,"Publicado")+COUNTIFS('Calendário'!$B$9:$B$214,$C48,'Calendário'!$O$9:$O$214,"Publicado"))&amp;" de "&amp;(5-COUNTIFS('Calendário'!$B$9:$B$214,$C48,'Calendário'!$N$9:$N$214,"Não se aplica")-COUNTIFS('Calendário'!$B$9:$B$214,$C48,'Calendário'!$O$9:$O$214,"Não se aplica"))</x:f>
        <x:v>0 de 3</x:v>
      </x:c>
      <x:c r="M48" s="87" t="str">
        <x:f>(COUNTIFS('Calendário'!$B$9:$B$214,$C48,'Calendário'!$J$9:$J$214,"Publicado")+COUNTIFS('Calendário'!$B$9:$B$214,$C48,'Calendário'!$K$9:$K$214,"Publicado")+COUNTIFS('Calendário'!$B$9:$B$214,$C48,'Calendário'!$M$9:$M$214,"Publicado")+COUNTIFS('Calendário'!$B$9:$B$214,$C48,'Calendário'!$N$9:$N$214,"Publicado")+COUNTIFS('Calendário'!$B$9:$B$214,$C48,'Calendário'!$O$9:$O$214,"Publicado"))&amp;" de "&amp;(5-COUNTIFS('Calendário'!$B$9:$B$214,$C48,'Calendário'!$N$9:$N$214,"Não se aplica")-COUNTIFS('Calendário'!$B$9:$B$214,$C48,'Calendário'!$O$9:$O$214,"Não se aplica"))</x:f>
        <x:v>0 de 3</x:v>
      </x:c>
      <x:c r="N48" s="75"/>
      <x:c r="O48" s="75"/>
      <x:c r="P48" s="61"/>
    </x:row>
    <x:row r="49" ht="57" customHeight="1">
      <x:c r="A49" s="61"/>
      <x:c r="B49" s="69" t="str">
        <x:f>TEXT(D49,"yyyy-mm")</x:f>
        <x:v>2026-11</x:v>
      </x:c>
      <x:c r="C49" s="72" t="str">
        <x:v>P41</x:v>
      </x:c>
      <x:c r="D49" s="90" t="n">
        <x:f>INDEX('Calendário'!$C$9:$C$214,MATCH($C49,'Calendário'!$B$9:$B$214,0))</x:f>
        <x:v>46349.5</x:v>
      </x:c>
      <x:c r="E49" s="69" t="str">
        <x:f>INDEX('Calendário'!$F$9:$F$214,MATCH($C49,'Calendário'!$B$9:$B$214,0))</x:f>
        <x:v>Carrossel</x:v>
      </x:c>
      <x:c r="F49" s="69" t="str">
        <x:f>INDEX('Calendário'!$G$9:$G$214,MATCH($C49,'Calendário'!$B$9:$B$214,0))</x:f>
        <x:v>Por qual pendência começar?</x:v>
      </x:c>
      <x:c r="G49" s="78" t="str">
        <x:f>IF(INDEX('Calendário'!$P$9:$P$214,MATCH($C49,'Calendário'!$B$9:$B$214,0))="","",INDEX('Calendário'!$P$9:$P$214,MATCH($C49,'Calendário'!$B$9:$B$214,0)))</x:f>
      </x:c>
      <x:c r="H49" s="75" t="str">
        <x:v>Não iniciada</x:v>
      </x:c>
      <x:c r="I49" s="75" t="str">
        <x:v>Não se aplica</x:v>
      </x:c>
      <x:c r="J49" s="75" t="str">
        <x:v>Pendente</x:v>
      </x:c>
      <x:c r="K49" s="75" t="str">
        <x:v>Pendente</x:v>
      </x:c>
      <x:c r="L49" s="87" t="str">
        <x:f>(COUNTIFS('Calendário'!$B$9:$B$214,$C49,'Calendário'!$J$9:$J$214,"Agendado")+COUNTIFS('Calendário'!$B$9:$B$214,$C49,'Calendário'!$K$9:$K$214,"Agendado")+COUNTIFS('Calendário'!$B$9:$B$214,$C49,'Calendário'!$M$9:$M$214,"Agendado")+COUNTIFS('Calendário'!$B$9:$B$214,$C49,'Calendário'!$N$9:$N$214,"Agendado")+COUNTIFS('Calendário'!$B$9:$B$214,$C49,'Calendário'!$O$9:$O$214,"Agendado")+COUNTIFS('Calendário'!$B$9:$B$214,$C49,'Calendário'!$J$9:$J$214,"Publicado")+COUNTIFS('Calendário'!$B$9:$B$214,$C49,'Calendário'!$K$9:$K$214,"Publicado")+COUNTIFS('Calendário'!$B$9:$B$214,$C49,'Calendário'!$M$9:$M$214,"Publicado")+COUNTIFS('Calendário'!$B$9:$B$214,$C49,'Calendário'!$N$9:$N$214,"Publicado")+COUNTIFS('Calendário'!$B$9:$B$214,$C49,'Calendário'!$O$9:$O$214,"Publicado"))&amp;" de "&amp;(5-COUNTIFS('Calendário'!$B$9:$B$214,$C49,'Calendário'!$N$9:$N$214,"Não se aplica")-COUNTIFS('Calendário'!$B$9:$B$214,$C49,'Calendário'!$O$9:$O$214,"Não se aplica"))</x:f>
        <x:v>0 de 3</x:v>
      </x:c>
      <x:c r="M49" s="87" t="str">
        <x:f>(COUNTIFS('Calendário'!$B$9:$B$214,$C49,'Calendário'!$J$9:$J$214,"Publicado")+COUNTIFS('Calendário'!$B$9:$B$214,$C49,'Calendário'!$K$9:$K$214,"Publicado")+COUNTIFS('Calendário'!$B$9:$B$214,$C49,'Calendário'!$M$9:$M$214,"Publicado")+COUNTIFS('Calendário'!$B$9:$B$214,$C49,'Calendário'!$N$9:$N$214,"Publicado")+COUNTIFS('Calendário'!$B$9:$B$214,$C49,'Calendário'!$O$9:$O$214,"Publicado"))&amp;" de "&amp;(5-COUNTIFS('Calendário'!$B$9:$B$214,$C49,'Calendário'!$N$9:$N$214,"Não se aplica")-COUNTIFS('Calendário'!$B$9:$B$214,$C49,'Calendário'!$O$9:$O$214,"Não se aplica"))</x:f>
        <x:v>0 de 3</x:v>
      </x:c>
      <x:c r="N49" s="75"/>
      <x:c r="O49" s="75"/>
      <x:c r="P49" s="61"/>
    </x:row>
    <x:row r="50" ht="57" customHeight="1">
      <x:c r="A50" s="61"/>
      <x:c r="B50" s="69" t="str">
        <x:f>TEXT(D50,"yyyy-mm")</x:f>
        <x:v>2026-11</x:v>
      </x:c>
      <x:c r="C50" s="72" t="str">
        <x:v>P42</x:v>
      </x:c>
      <x:c r="D50" s="90" t="n">
        <x:f>INDEX('Calendário'!$C$9:$C$214,MATCH($C50,'Calendário'!$B$9:$B$214,0))</x:f>
        <x:v>46351.5</x:v>
      </x:c>
      <x:c r="E50" s="69" t="str">
        <x:f>INDEX('Calendário'!$F$9:$F$214,MATCH($C50,'Calendário'!$B$9:$B$214,0))</x:f>
        <x:v>Reel</x:v>
      </x:c>
      <x:c r="F50" s="69" t="str">
        <x:f>INDEX('Calendário'!$G$9:$G$214,MATCH($C50,'Calendário'!$B$9:$B$214,0))</x:f>
        <x:v>Exemplo prático: revisão por prioridade.</x:v>
      </x:c>
      <x:c r="G50" s="78" t="str">
        <x:f>IF(INDEX('Calendário'!$P$9:$P$214,MATCH($C50,'Calendário'!$B$9:$B$214,0))="","",INDEX('Calendário'!$P$9:$P$214,MATCH($C50,'Calendário'!$B$9:$B$214,0)))</x:f>
      </x:c>
      <x:c r="H50" s="75" t="str">
        <x:v>Não iniciada</x:v>
      </x:c>
      <x:c r="I50" s="75" t="str">
        <x:v>Não iniciado</x:v>
      </x:c>
      <x:c r="J50" s="75" t="str">
        <x:v>Pendente</x:v>
      </x:c>
      <x:c r="K50" s="75" t="str">
        <x:v>Pendente</x:v>
      </x:c>
      <x:c r="L50" s="87" t="str">
        <x:f>(COUNTIFS('Calendário'!$B$9:$B$214,$C50,'Calendário'!$J$9:$J$214,"Agendado")+COUNTIFS('Calendário'!$B$9:$B$214,$C50,'Calendário'!$K$9:$K$214,"Agendado")+COUNTIFS('Calendário'!$B$9:$B$214,$C50,'Calendário'!$M$9:$M$214,"Agendado")+COUNTIFS('Calendário'!$B$9:$B$214,$C50,'Calendário'!$N$9:$N$214,"Agendado")+COUNTIFS('Calendário'!$B$9:$B$214,$C50,'Calendário'!$O$9:$O$214,"Agendado")+COUNTIFS('Calendário'!$B$9:$B$214,$C50,'Calendário'!$J$9:$J$214,"Publicado")+COUNTIFS('Calendário'!$B$9:$B$214,$C50,'Calendário'!$K$9:$K$214,"Publicado")+COUNTIFS('Calendário'!$B$9:$B$214,$C50,'Calendário'!$M$9:$M$214,"Publicado")+COUNTIFS('Calendário'!$B$9:$B$214,$C50,'Calendário'!$N$9:$N$214,"Publicado")+COUNTIFS('Calendário'!$B$9:$B$214,$C50,'Calendário'!$O$9:$O$214,"Publicado"))&amp;" de "&amp;(5-COUNTIFS('Calendário'!$B$9:$B$214,$C50,'Calendário'!$N$9:$N$214,"Não se aplica")-COUNTIFS('Calendário'!$B$9:$B$214,$C50,'Calendário'!$O$9:$O$214,"Não se aplica"))</x:f>
        <x:v>0 de 5</x:v>
      </x:c>
      <x:c r="M50" s="87" t="str">
        <x:f>(COUNTIFS('Calendário'!$B$9:$B$214,$C50,'Calendário'!$J$9:$J$214,"Publicado")+COUNTIFS('Calendário'!$B$9:$B$214,$C50,'Calendário'!$K$9:$K$214,"Publicado")+COUNTIFS('Calendário'!$B$9:$B$214,$C50,'Calendário'!$M$9:$M$214,"Publicado")+COUNTIFS('Calendário'!$B$9:$B$214,$C50,'Calendário'!$N$9:$N$214,"Publicado")+COUNTIFS('Calendário'!$B$9:$B$214,$C50,'Calendário'!$O$9:$O$214,"Publicado"))&amp;" de "&amp;(5-COUNTIFS('Calendário'!$B$9:$B$214,$C50,'Calendário'!$N$9:$N$214,"Não se aplica")-COUNTIFS('Calendário'!$B$9:$B$214,$C50,'Calendário'!$O$9:$O$214,"Não se aplica"))</x:f>
        <x:v>0 de 5</x:v>
      </x:c>
      <x:c r="N50" s="75"/>
      <x:c r="O50" s="75"/>
      <x:c r="P50" s="61"/>
    </x:row>
    <x:row r="51" ht="57" customHeight="1">
      <x:c r="A51" s="61"/>
      <x:c r="B51" s="69" t="str">
        <x:f>TEXT(D51,"yyyy-mm")</x:f>
        <x:v>2026-11</x:v>
      </x:c>
      <x:c r="C51" s="72" t="str">
        <x:v>P43</x:v>
      </x:c>
      <x:c r="D51" s="90" t="n">
        <x:f>INDEX('Calendário'!$C$9:$C$214,MATCH($C51,'Calendário'!$B$9:$B$214,0))</x:f>
        <x:v>46353.5</x:v>
      </x:c>
      <x:c r="E51" s="69" t="str">
        <x:f>INDEX('Calendário'!$F$9:$F$214,MATCH($C51,'Calendário'!$B$9:$B$214,0))</x:f>
        <x:v>Carrossel</x:v>
      </x:c>
      <x:c r="F51" s="69" t="str">
        <x:f>INDEX('Calendário'!$G$9:$G$214,MATCH($C51,'Calendário'!$B$9:$B$214,0))</x:f>
        <x:v>Checklist: revisão por prioridade.</x:v>
      </x:c>
      <x:c r="G51" s="78" t="str">
        <x:f>IF(INDEX('Calendário'!$P$9:$P$214,MATCH($C51,'Calendário'!$B$9:$B$214,0))="","",INDEX('Calendário'!$P$9:$P$214,MATCH($C51,'Calendário'!$B$9:$B$214,0)))</x:f>
      </x:c>
      <x:c r="H51" s="75" t="str">
        <x:v>Não iniciada</x:v>
      </x:c>
      <x:c r="I51" s="75" t="str">
        <x:v>Não se aplica</x:v>
      </x:c>
      <x:c r="J51" s="75" t="str">
        <x:v>Pendente</x:v>
      </x:c>
      <x:c r="K51" s="75" t="str">
        <x:v>Pendente</x:v>
      </x:c>
      <x:c r="L51" s="87" t="str">
        <x:f>(COUNTIFS('Calendário'!$B$9:$B$214,$C51,'Calendário'!$J$9:$J$214,"Agendado")+COUNTIFS('Calendário'!$B$9:$B$214,$C51,'Calendário'!$K$9:$K$214,"Agendado")+COUNTIFS('Calendário'!$B$9:$B$214,$C51,'Calendário'!$M$9:$M$214,"Agendado")+COUNTIFS('Calendário'!$B$9:$B$214,$C51,'Calendário'!$N$9:$N$214,"Agendado")+COUNTIFS('Calendário'!$B$9:$B$214,$C51,'Calendário'!$O$9:$O$214,"Agendado")+COUNTIFS('Calendário'!$B$9:$B$214,$C51,'Calendário'!$J$9:$J$214,"Publicado")+COUNTIFS('Calendário'!$B$9:$B$214,$C51,'Calendário'!$K$9:$K$214,"Publicado")+COUNTIFS('Calendário'!$B$9:$B$214,$C51,'Calendário'!$M$9:$M$214,"Publicado")+COUNTIFS('Calendário'!$B$9:$B$214,$C51,'Calendário'!$N$9:$N$214,"Publicado")+COUNTIFS('Calendário'!$B$9:$B$214,$C51,'Calendário'!$O$9:$O$214,"Publicado"))&amp;" de "&amp;(5-COUNTIFS('Calendário'!$B$9:$B$214,$C51,'Calendário'!$N$9:$N$214,"Não se aplica")-COUNTIFS('Calendário'!$B$9:$B$214,$C51,'Calendário'!$O$9:$O$214,"Não se aplica"))</x:f>
        <x:v>0 de 3</x:v>
      </x:c>
      <x:c r="M51" s="87" t="str">
        <x:f>(COUNTIFS('Calendário'!$B$9:$B$214,$C51,'Calendário'!$J$9:$J$214,"Publicado")+COUNTIFS('Calendário'!$B$9:$B$214,$C51,'Calendário'!$K$9:$K$214,"Publicado")+COUNTIFS('Calendário'!$B$9:$B$214,$C51,'Calendário'!$M$9:$M$214,"Publicado")+COUNTIFS('Calendário'!$B$9:$B$214,$C51,'Calendário'!$N$9:$N$214,"Publicado")+COUNTIFS('Calendário'!$B$9:$B$214,$C51,'Calendário'!$O$9:$O$214,"Publicado"))&amp;" de "&amp;(5-COUNTIFS('Calendário'!$B$9:$B$214,$C51,'Calendário'!$N$9:$N$214,"Não se aplica")-COUNTIFS('Calendário'!$B$9:$B$214,$C51,'Calendário'!$O$9:$O$214,"Não se aplica"))</x:f>
        <x:v>0 de 3</x:v>
      </x:c>
      <x:c r="N51" s="75"/>
      <x:c r="O51" s="75"/>
      <x:c r="P51" s="61"/>
    </x:row>
    <x:row r="52" ht="57" customHeight="1">
      <x:c r="A52" s="61"/>
      <x:c r="B52" s="69" t="str">
        <x:f>TEXT(D52,"yyyy-mm")</x:f>
        <x:v>2026-11</x:v>
      </x:c>
      <x:c r="C52" s="72" t="str">
        <x:v>P44</x:v>
      </x:c>
      <x:c r="D52" s="90" t="n">
        <x:f>INDEX('Calendário'!$C$9:$C$214,MATCH($C52,'Calendário'!$B$9:$B$214,0))</x:f>
        <x:v>46354.5</x:v>
      </x:c>
      <x:c r="E52" s="69" t="str">
        <x:f>INDEX('Calendário'!$F$9:$F$214,MATCH($C52,'Calendário'!$B$9:$B$214,0))</x:f>
        <x:v>Estático</x:v>
      </x:c>
      <x:c r="F52" s="69" t="str">
        <x:f>INDEX('Calendário'!$G$9:$G$214,MATCH($C52,'Calendário'!$B$9:$B$214,0))</x:f>
        <x:v>O que define a prioridade de revisão na
sua equipe?</x:v>
      </x:c>
      <x:c r="G52" s="78" t="str">
        <x:f>IF(INDEX('Calendário'!$P$9:$P$214,MATCH($C52,'Calendário'!$B$9:$B$214,0))="","",INDEX('Calendário'!$P$9:$P$214,MATCH($C52,'Calendário'!$B$9:$B$214,0)))</x:f>
      </x:c>
      <x:c r="H52" s="75" t="str">
        <x:v>Não iniciada</x:v>
      </x:c>
      <x:c r="I52" s="75" t="str">
        <x:v>Não se aplica</x:v>
      </x:c>
      <x:c r="J52" s="75" t="str">
        <x:v>Pendente</x:v>
      </x:c>
      <x:c r="K52" s="75" t="str">
        <x:v>Pendente</x:v>
      </x:c>
      <x:c r="L52" s="87" t="str">
        <x:f>(COUNTIFS('Calendário'!$B$9:$B$214,$C52,'Calendário'!$J$9:$J$214,"Agendado")+COUNTIFS('Calendário'!$B$9:$B$214,$C52,'Calendário'!$K$9:$K$214,"Agendado")+COUNTIFS('Calendário'!$B$9:$B$214,$C52,'Calendário'!$M$9:$M$214,"Agendado")+COUNTIFS('Calendário'!$B$9:$B$214,$C52,'Calendário'!$N$9:$N$214,"Agendado")+COUNTIFS('Calendário'!$B$9:$B$214,$C52,'Calendário'!$O$9:$O$214,"Agendado")+COUNTIFS('Calendário'!$B$9:$B$214,$C52,'Calendário'!$J$9:$J$214,"Publicado")+COUNTIFS('Calendário'!$B$9:$B$214,$C52,'Calendário'!$K$9:$K$214,"Publicado")+COUNTIFS('Calendário'!$B$9:$B$214,$C52,'Calendário'!$M$9:$M$214,"Publicado")+COUNTIFS('Calendário'!$B$9:$B$214,$C52,'Calendário'!$N$9:$N$214,"Publicado")+COUNTIFS('Calendário'!$B$9:$B$214,$C52,'Calendário'!$O$9:$O$214,"Publicado"))&amp;" de "&amp;(5-COUNTIFS('Calendário'!$B$9:$B$214,$C52,'Calendário'!$N$9:$N$214,"Não se aplica")-COUNTIFS('Calendário'!$B$9:$B$214,$C52,'Calendário'!$O$9:$O$214,"Não se aplica"))</x:f>
        <x:v>0 de 3</x:v>
      </x:c>
      <x:c r="M52" s="87" t="str">
        <x:f>(COUNTIFS('Calendário'!$B$9:$B$214,$C52,'Calendário'!$J$9:$J$214,"Publicado")+COUNTIFS('Calendário'!$B$9:$B$214,$C52,'Calendário'!$K$9:$K$214,"Publicado")+COUNTIFS('Calendário'!$B$9:$B$214,$C52,'Calendário'!$M$9:$M$214,"Publicado")+COUNTIFS('Calendário'!$B$9:$B$214,$C52,'Calendário'!$N$9:$N$214,"Publicado")+COUNTIFS('Calendário'!$B$9:$B$214,$C52,'Calendário'!$O$9:$O$214,"Publicado"))&amp;" de "&amp;(5-COUNTIFS('Calendário'!$B$9:$B$214,$C52,'Calendário'!$N$9:$N$214,"Não se aplica")-COUNTIFS('Calendário'!$B$9:$B$214,$C52,'Calendário'!$O$9:$O$214,"Não se aplica"))</x:f>
        <x:v>0 de 3</x:v>
      </x:c>
      <x:c r="N52" s="75"/>
      <x:c r="O52" s="75"/>
      <x:c r="P52" s="61"/>
    </x:row>
    <x:row r="53" ht="57" customHeight="1">
      <x:c r="A53" s="61"/>
      <x:c r="B53" s="69" t="str">
        <x:f>TEXT(D53,"yyyy-mm")</x:f>
        <x:v>2026-11</x:v>
      </x:c>
      <x:c r="C53" s="72" t="str">
        <x:v>P45</x:v>
      </x:c>
      <x:c r="D53" s="90" t="n">
        <x:f>INDEX('Calendário'!$C$9:$C$214,MATCH($C53,'Calendário'!$B$9:$B$214,0))</x:f>
        <x:v>46356.5</x:v>
      </x:c>
      <x:c r="E53" s="69" t="str">
        <x:f>INDEX('Calendário'!$F$9:$F$214,MATCH($C53,'Calendário'!$B$9:$B$214,0))</x:f>
        <x:v>Carrossel</x:v>
      </x:c>
      <x:c r="F53" s="69" t="str">
        <x:f>INDEX('Calendário'!$G$9:$G$214,MATCH($C53,'Calendário'!$B$9:$B$214,0))</x:f>
        <x:v>O que falta para encerrar uma revisão?</x:v>
      </x:c>
      <x:c r="G53" s="78" t="str">
        <x:f>IF(INDEX('Calendário'!$P$9:$P$214,MATCH($C53,'Calendário'!$B$9:$B$214,0))="","",INDEX('Calendário'!$P$9:$P$214,MATCH($C53,'Calendário'!$B$9:$B$214,0)))</x:f>
      </x:c>
      <x:c r="H53" s="75" t="str">
        <x:v>Não iniciada</x:v>
      </x:c>
      <x:c r="I53" s="75" t="str">
        <x:v>Não se aplica</x:v>
      </x:c>
      <x:c r="J53" s="75" t="str">
        <x:v>Pendente</x:v>
      </x:c>
      <x:c r="K53" s="75" t="str">
        <x:v>Pendente</x:v>
      </x:c>
      <x:c r="L53" s="87" t="str">
        <x:f>(COUNTIFS('Calendário'!$B$9:$B$214,$C53,'Calendário'!$J$9:$J$214,"Agendado")+COUNTIFS('Calendário'!$B$9:$B$214,$C53,'Calendário'!$K$9:$K$214,"Agendado")+COUNTIFS('Calendário'!$B$9:$B$214,$C53,'Calendário'!$M$9:$M$214,"Agendado")+COUNTIFS('Calendário'!$B$9:$B$214,$C53,'Calendário'!$N$9:$N$214,"Agendado")+COUNTIFS('Calendário'!$B$9:$B$214,$C53,'Calendário'!$O$9:$O$214,"Agendado")+COUNTIFS('Calendário'!$B$9:$B$214,$C53,'Calendário'!$J$9:$J$214,"Publicado")+COUNTIFS('Calendário'!$B$9:$B$214,$C53,'Calendário'!$K$9:$K$214,"Publicado")+COUNTIFS('Calendário'!$B$9:$B$214,$C53,'Calendário'!$M$9:$M$214,"Publicado")+COUNTIFS('Calendário'!$B$9:$B$214,$C53,'Calendário'!$N$9:$N$214,"Publicado")+COUNTIFS('Calendário'!$B$9:$B$214,$C53,'Calendário'!$O$9:$O$214,"Publicado"))&amp;" de "&amp;(5-COUNTIFS('Calendário'!$B$9:$B$214,$C53,'Calendário'!$N$9:$N$214,"Não se aplica")-COUNTIFS('Calendário'!$B$9:$B$214,$C53,'Calendário'!$O$9:$O$214,"Não se aplica"))</x:f>
        <x:v>0 de 3</x:v>
      </x:c>
      <x:c r="M53" s="87" t="str">
        <x:f>(COUNTIFS('Calendário'!$B$9:$B$214,$C53,'Calendário'!$J$9:$J$214,"Publicado")+COUNTIFS('Calendário'!$B$9:$B$214,$C53,'Calendário'!$K$9:$K$214,"Publicado")+COUNTIFS('Calendário'!$B$9:$B$214,$C53,'Calendário'!$M$9:$M$214,"Publicado")+COUNTIFS('Calendário'!$B$9:$B$214,$C53,'Calendário'!$N$9:$N$214,"Publicado")+COUNTIFS('Calendário'!$B$9:$B$214,$C53,'Calendário'!$O$9:$O$214,"Publicado"))&amp;" de "&amp;(5-COUNTIFS('Calendário'!$B$9:$B$214,$C53,'Calendário'!$N$9:$N$214,"Não se aplica")-COUNTIFS('Calendário'!$B$9:$B$214,$C53,'Calendário'!$O$9:$O$214,"Não se aplica"))</x:f>
        <x:v>0 de 3</x:v>
      </x:c>
      <x:c r="N53" s="75"/>
      <x:c r="O53" s="75"/>
      <x:c r="P53" s="61"/>
    </x:row>
    <x:row r="54" ht="57" customHeight="1">
      <x:c r="A54" s="61"/>
      <x:c r="B54" s="69" t="str">
        <x:f>TEXT(D54,"yyyy-mm")</x:f>
        <x:v>2026-12</x:v>
      </x:c>
      <x:c r="C54" s="72" t="str">
        <x:v>P46</x:v>
      </x:c>
      <x:c r="D54" s="90" t="n">
        <x:f>INDEX('Calendário'!$C$9:$C$214,MATCH($C54,'Calendário'!$B$9:$B$214,0))</x:f>
        <x:v>46358.5</x:v>
      </x:c>
      <x:c r="E54" s="69" t="str">
        <x:f>INDEX('Calendário'!$F$9:$F$214,MATCH($C54,'Calendário'!$B$9:$B$214,0))</x:f>
        <x:v>Reel</x:v>
      </x:c>
      <x:c r="F54" s="69" t="str">
        <x:f>INDEX('Calendário'!$G$9:$G$214,MATCH($C54,'Calendário'!$B$9:$B$214,0))</x:f>
        <x:v>Exemplo prático: fechamento de
pendências.</x:v>
      </x:c>
      <x:c r="G54" s="78" t="str">
        <x:f>IF(INDEX('Calendário'!$P$9:$P$214,MATCH($C54,'Calendário'!$B$9:$B$214,0))="","",INDEX('Calendário'!$P$9:$P$214,MATCH($C54,'Calendário'!$B$9:$B$214,0)))</x:f>
      </x:c>
      <x:c r="H54" s="75" t="str">
        <x:v>Não iniciada</x:v>
      </x:c>
      <x:c r="I54" s="75" t="str">
        <x:v>Não iniciado</x:v>
      </x:c>
      <x:c r="J54" s="75" t="str">
        <x:v>Pendente</x:v>
      </x:c>
      <x:c r="K54" s="75" t="str">
        <x:v>Pendente</x:v>
      </x:c>
      <x:c r="L54" s="87" t="str">
        <x:f>(COUNTIFS('Calendário'!$B$9:$B$214,$C54,'Calendário'!$J$9:$J$214,"Agendado")+COUNTIFS('Calendário'!$B$9:$B$214,$C54,'Calendário'!$K$9:$K$214,"Agendado")+COUNTIFS('Calendário'!$B$9:$B$214,$C54,'Calendário'!$M$9:$M$214,"Agendado")+COUNTIFS('Calendário'!$B$9:$B$214,$C54,'Calendário'!$N$9:$N$214,"Agendado")+COUNTIFS('Calendário'!$B$9:$B$214,$C54,'Calendário'!$O$9:$O$214,"Agendado")+COUNTIFS('Calendário'!$B$9:$B$214,$C54,'Calendário'!$J$9:$J$214,"Publicado")+COUNTIFS('Calendário'!$B$9:$B$214,$C54,'Calendário'!$K$9:$K$214,"Publicado")+COUNTIFS('Calendário'!$B$9:$B$214,$C54,'Calendário'!$M$9:$M$214,"Publicado")+COUNTIFS('Calendário'!$B$9:$B$214,$C54,'Calendário'!$N$9:$N$214,"Publicado")+COUNTIFS('Calendário'!$B$9:$B$214,$C54,'Calendário'!$O$9:$O$214,"Publicado"))&amp;" de "&amp;(5-COUNTIFS('Calendário'!$B$9:$B$214,$C54,'Calendário'!$N$9:$N$214,"Não se aplica")-COUNTIFS('Calendário'!$B$9:$B$214,$C54,'Calendário'!$O$9:$O$214,"Não se aplica"))</x:f>
        <x:v>0 de 5</x:v>
      </x:c>
      <x:c r="M54" s="87" t="str">
        <x:f>(COUNTIFS('Calendário'!$B$9:$B$214,$C54,'Calendário'!$J$9:$J$214,"Publicado")+COUNTIFS('Calendário'!$B$9:$B$214,$C54,'Calendário'!$K$9:$K$214,"Publicado")+COUNTIFS('Calendário'!$B$9:$B$214,$C54,'Calendário'!$M$9:$M$214,"Publicado")+COUNTIFS('Calendário'!$B$9:$B$214,$C54,'Calendário'!$N$9:$N$214,"Publicado")+COUNTIFS('Calendário'!$B$9:$B$214,$C54,'Calendário'!$O$9:$O$214,"Publicado"))&amp;" de "&amp;(5-COUNTIFS('Calendário'!$B$9:$B$214,$C54,'Calendário'!$N$9:$N$214,"Não se aplica")-COUNTIFS('Calendário'!$B$9:$B$214,$C54,'Calendário'!$O$9:$O$214,"Não se aplica"))</x:f>
        <x:v>0 de 5</x:v>
      </x:c>
      <x:c r="N54" s="75"/>
      <x:c r="O54" s="75"/>
      <x:c r="P54" s="61"/>
    </x:row>
    <x:row r="55" ht="57" customHeight="1">
      <x:c r="A55" s="61"/>
      <x:c r="B55" s="69" t="str">
        <x:f>TEXT(D55,"yyyy-mm")</x:f>
        <x:v>2026-12</x:v>
      </x:c>
      <x:c r="C55" s="72" t="str">
        <x:v>P47</x:v>
      </x:c>
      <x:c r="D55" s="90" t="n">
        <x:f>INDEX('Calendário'!$C$9:$C$214,MATCH($C55,'Calendário'!$B$9:$B$214,0))</x:f>
        <x:v>46360.5</x:v>
      </x:c>
      <x:c r="E55" s="69" t="str">
        <x:f>INDEX('Calendário'!$F$9:$F$214,MATCH($C55,'Calendário'!$B$9:$B$214,0))</x:f>
        <x:v>Carrossel</x:v>
      </x:c>
      <x:c r="F55" s="69" t="str">
        <x:f>INDEX('Calendário'!$G$9:$G$214,MATCH($C55,'Calendário'!$B$9:$B$214,0))</x:f>
        <x:v>Checklist: fechamento de pendências.</x:v>
      </x:c>
      <x:c r="G55" s="78" t="str">
        <x:f>IF(INDEX('Calendário'!$P$9:$P$214,MATCH($C55,'Calendário'!$B$9:$B$214,0))="","",INDEX('Calendário'!$P$9:$P$214,MATCH($C55,'Calendário'!$B$9:$B$214,0)))</x:f>
      </x:c>
      <x:c r="H55" s="75" t="str">
        <x:v>Não iniciada</x:v>
      </x:c>
      <x:c r="I55" s="75" t="str">
        <x:v>Não se aplica</x:v>
      </x:c>
      <x:c r="J55" s="75" t="str">
        <x:v>Pendente</x:v>
      </x:c>
      <x:c r="K55" s="75" t="str">
        <x:v>Pendente</x:v>
      </x:c>
      <x:c r="L55" s="87" t="str">
        <x:f>(COUNTIFS('Calendário'!$B$9:$B$214,$C55,'Calendário'!$J$9:$J$214,"Agendado")+COUNTIFS('Calendário'!$B$9:$B$214,$C55,'Calendário'!$K$9:$K$214,"Agendado")+COUNTIFS('Calendário'!$B$9:$B$214,$C55,'Calendário'!$M$9:$M$214,"Agendado")+COUNTIFS('Calendário'!$B$9:$B$214,$C55,'Calendário'!$N$9:$N$214,"Agendado")+COUNTIFS('Calendário'!$B$9:$B$214,$C55,'Calendário'!$O$9:$O$214,"Agendado")+COUNTIFS('Calendário'!$B$9:$B$214,$C55,'Calendário'!$J$9:$J$214,"Publicado")+COUNTIFS('Calendário'!$B$9:$B$214,$C55,'Calendário'!$K$9:$K$214,"Publicado")+COUNTIFS('Calendário'!$B$9:$B$214,$C55,'Calendário'!$M$9:$M$214,"Publicado")+COUNTIFS('Calendário'!$B$9:$B$214,$C55,'Calendário'!$N$9:$N$214,"Publicado")+COUNTIFS('Calendário'!$B$9:$B$214,$C55,'Calendário'!$O$9:$O$214,"Publicado"))&amp;" de "&amp;(5-COUNTIFS('Calendário'!$B$9:$B$214,$C55,'Calendário'!$N$9:$N$214,"Não se aplica")-COUNTIFS('Calendário'!$B$9:$B$214,$C55,'Calendário'!$O$9:$O$214,"Não se aplica"))</x:f>
        <x:v>0 de 3</x:v>
      </x:c>
      <x:c r="M55" s="87" t="str">
        <x:f>(COUNTIFS('Calendário'!$B$9:$B$214,$C55,'Calendário'!$J$9:$J$214,"Publicado")+COUNTIFS('Calendário'!$B$9:$B$214,$C55,'Calendário'!$K$9:$K$214,"Publicado")+COUNTIFS('Calendário'!$B$9:$B$214,$C55,'Calendário'!$M$9:$M$214,"Publicado")+COUNTIFS('Calendário'!$B$9:$B$214,$C55,'Calendário'!$N$9:$N$214,"Publicado")+COUNTIFS('Calendário'!$B$9:$B$214,$C55,'Calendário'!$O$9:$O$214,"Publicado"))&amp;" de "&amp;(5-COUNTIFS('Calendário'!$B$9:$B$214,$C55,'Calendário'!$N$9:$N$214,"Não se aplica")-COUNTIFS('Calendário'!$B$9:$B$214,$C55,'Calendário'!$O$9:$O$214,"Não se aplica"))</x:f>
        <x:v>0 de 3</x:v>
      </x:c>
      <x:c r="N55" s="75"/>
      <x:c r="O55" s="75"/>
      <x:c r="P55" s="61"/>
    </x:row>
    <x:row r="56" ht="57" customHeight="1">
      <x:c r="A56" s="61"/>
      <x:c r="B56" s="69" t="str">
        <x:f>TEXT(D56,"yyyy-mm")</x:f>
        <x:v>2026-12</x:v>
      </x:c>
      <x:c r="C56" s="72" t="str">
        <x:v>P48</x:v>
      </x:c>
      <x:c r="D56" s="90" t="n">
        <x:f>INDEX('Calendário'!$C$9:$C$214,MATCH($C56,'Calendário'!$B$9:$B$214,0))</x:f>
        <x:v>46361.5</x:v>
      </x:c>
      <x:c r="E56" s="69" t="str">
        <x:f>INDEX('Calendário'!$F$9:$F$214,MATCH($C56,'Calendário'!$B$9:$B$214,0))</x:f>
        <x:v>Estático</x:v>
      </x:c>
      <x:c r="F56" s="69" t="str">
        <x:f>INDEX('Calendário'!$G$9:$G$214,MATCH($C56,'Calendário'!$B$9:$B$214,0))</x:f>
        <x:v>Converse com a Arxis sobre fechamento de
pendências.</x:v>
      </x:c>
      <x:c r="G56" s="78" t="str">
        <x:f>IF(INDEX('Calendário'!$P$9:$P$214,MATCH($C56,'Calendário'!$B$9:$B$214,0))="","",INDEX('Calendário'!$P$9:$P$214,MATCH($C56,'Calendário'!$B$9:$B$214,0)))</x:f>
      </x:c>
      <x:c r="H56" s="75" t="str">
        <x:v>Não iniciada</x:v>
      </x:c>
      <x:c r="I56" s="75" t="str">
        <x:v>Não se aplica</x:v>
      </x:c>
      <x:c r="J56" s="75" t="str">
        <x:v>Pendente</x:v>
      </x:c>
      <x:c r="K56" s="75" t="str">
        <x:v>Pendente</x:v>
      </x:c>
      <x:c r="L56" s="87" t="str">
        <x:f>(COUNTIFS('Calendário'!$B$9:$B$214,$C56,'Calendário'!$J$9:$J$214,"Agendado")+COUNTIFS('Calendário'!$B$9:$B$214,$C56,'Calendário'!$K$9:$K$214,"Agendado")+COUNTIFS('Calendário'!$B$9:$B$214,$C56,'Calendário'!$M$9:$M$214,"Agendado")+COUNTIFS('Calendário'!$B$9:$B$214,$C56,'Calendário'!$N$9:$N$214,"Agendado")+COUNTIFS('Calendário'!$B$9:$B$214,$C56,'Calendário'!$O$9:$O$214,"Agendado")+COUNTIFS('Calendário'!$B$9:$B$214,$C56,'Calendário'!$J$9:$J$214,"Publicado")+COUNTIFS('Calendário'!$B$9:$B$214,$C56,'Calendário'!$K$9:$K$214,"Publicado")+COUNTIFS('Calendário'!$B$9:$B$214,$C56,'Calendário'!$M$9:$M$214,"Publicado")+COUNTIFS('Calendário'!$B$9:$B$214,$C56,'Calendário'!$N$9:$N$214,"Publicado")+COUNTIFS('Calendário'!$B$9:$B$214,$C56,'Calendário'!$O$9:$O$214,"Publicado"))&amp;" de "&amp;(5-COUNTIFS('Calendário'!$B$9:$B$214,$C56,'Calendário'!$N$9:$N$214,"Não se aplica")-COUNTIFS('Calendário'!$B$9:$B$214,$C56,'Calendário'!$O$9:$O$214,"Não se aplica"))</x:f>
        <x:v>0 de 3</x:v>
      </x:c>
      <x:c r="M56" s="87" t="str">
        <x:f>(COUNTIFS('Calendário'!$B$9:$B$214,$C56,'Calendário'!$J$9:$J$214,"Publicado")+COUNTIFS('Calendário'!$B$9:$B$214,$C56,'Calendário'!$K$9:$K$214,"Publicado")+COUNTIFS('Calendário'!$B$9:$B$214,$C56,'Calendário'!$M$9:$M$214,"Publicado")+COUNTIFS('Calendário'!$B$9:$B$214,$C56,'Calendário'!$N$9:$N$214,"Publicado")+COUNTIFS('Calendário'!$B$9:$B$214,$C56,'Calendário'!$O$9:$O$214,"Publicado"))&amp;" de "&amp;(5-COUNTIFS('Calendário'!$B$9:$B$214,$C56,'Calendário'!$N$9:$N$214,"Não se aplica")-COUNTIFS('Calendário'!$B$9:$B$214,$C56,'Calendário'!$O$9:$O$214,"Não se aplica"))</x:f>
        <x:v>0 de 3</x:v>
      </x:c>
      <x:c r="N56" s="75"/>
      <x:c r="O56" s="75"/>
      <x:c r="P56" s="61"/>
    </x:row>
    <x:row r="57" ht="57" customHeight="1">
      <x:c r="A57" s="61"/>
      <x:c r="B57" s="69" t="str">
        <x:f>TEXT(D57,"yyyy-mm")</x:f>
        <x:v>2026-12</x:v>
      </x:c>
      <x:c r="C57" s="72" t="str">
        <x:v>P49</x:v>
      </x:c>
      <x:c r="D57" s="90" t="n">
        <x:f>INDEX('Calendário'!$C$9:$C$214,MATCH($C57,'Calendário'!$B$9:$B$214,0))</x:f>
        <x:v>46363.5</x:v>
      </x:c>
      <x:c r="E57" s="69" t="str">
        <x:f>INDEX('Calendário'!$F$9:$F$214,MATCH($C57,'Calendário'!$B$9:$B$214,0))</x:f>
        <x:v>Carrossel</x:v>
      </x:c>
      <x:c r="F57" s="69" t="str">
        <x:f>INDEX('Calendário'!$G$9:$G$214,MATCH($C57,'Calendário'!$B$9:$B$214,0))</x:f>
        <x:v>O nome do arquivo ajuda a encontrar a
referência?</x:v>
      </x:c>
      <x:c r="G57" s="78" t="str">
        <x:f>IF(INDEX('Calendário'!$P$9:$P$214,MATCH($C57,'Calendário'!$B$9:$B$214,0))="","",INDEX('Calendário'!$P$9:$P$214,MATCH($C57,'Calendário'!$B$9:$B$214,0)))</x:f>
      </x:c>
      <x:c r="H57" s="75" t="str">
        <x:v>Não iniciada</x:v>
      </x:c>
      <x:c r="I57" s="75" t="str">
        <x:v>Não se aplica</x:v>
      </x:c>
      <x:c r="J57" s="75" t="str">
        <x:v>Pendente</x:v>
      </x:c>
      <x:c r="K57" s="75" t="str">
        <x:v>Pendente</x:v>
      </x:c>
      <x:c r="L57" s="87" t="str">
        <x:f>(COUNTIFS('Calendário'!$B$9:$B$214,$C57,'Calendário'!$J$9:$J$214,"Agendado")+COUNTIFS('Calendário'!$B$9:$B$214,$C57,'Calendário'!$K$9:$K$214,"Agendado")+COUNTIFS('Calendário'!$B$9:$B$214,$C57,'Calendário'!$M$9:$M$214,"Agendado")+COUNTIFS('Calendário'!$B$9:$B$214,$C57,'Calendário'!$N$9:$N$214,"Agendado")+COUNTIFS('Calendário'!$B$9:$B$214,$C57,'Calendário'!$O$9:$O$214,"Agendado")+COUNTIFS('Calendário'!$B$9:$B$214,$C57,'Calendário'!$J$9:$J$214,"Publicado")+COUNTIFS('Calendário'!$B$9:$B$214,$C57,'Calendário'!$K$9:$K$214,"Publicado")+COUNTIFS('Calendário'!$B$9:$B$214,$C57,'Calendário'!$M$9:$M$214,"Publicado")+COUNTIFS('Calendário'!$B$9:$B$214,$C57,'Calendário'!$N$9:$N$214,"Publicado")+COUNTIFS('Calendário'!$B$9:$B$214,$C57,'Calendário'!$O$9:$O$214,"Publicado"))&amp;" de "&amp;(5-COUNTIFS('Calendário'!$B$9:$B$214,$C57,'Calendário'!$N$9:$N$214,"Não se aplica")-COUNTIFS('Calendário'!$B$9:$B$214,$C57,'Calendário'!$O$9:$O$214,"Não se aplica"))</x:f>
        <x:v>0 de 3</x:v>
      </x:c>
      <x:c r="M57" s="87" t="str">
        <x:f>(COUNTIFS('Calendário'!$B$9:$B$214,$C57,'Calendário'!$J$9:$J$214,"Publicado")+COUNTIFS('Calendário'!$B$9:$B$214,$C57,'Calendário'!$K$9:$K$214,"Publicado")+COUNTIFS('Calendário'!$B$9:$B$214,$C57,'Calendário'!$M$9:$M$214,"Publicado")+COUNTIFS('Calendário'!$B$9:$B$214,$C57,'Calendário'!$N$9:$N$214,"Publicado")+COUNTIFS('Calendário'!$B$9:$B$214,$C57,'Calendário'!$O$9:$O$214,"Publicado"))&amp;" de "&amp;(5-COUNTIFS('Calendário'!$B$9:$B$214,$C57,'Calendário'!$N$9:$N$214,"Não se aplica")-COUNTIFS('Calendário'!$B$9:$B$214,$C57,'Calendário'!$O$9:$O$214,"Não se aplica"))</x:f>
        <x:v>0 de 3</x:v>
      </x:c>
      <x:c r="N57" s="75"/>
      <x:c r="O57" s="75"/>
      <x:c r="P57" s="61"/>
    </x:row>
    <x:row r="58" ht="57" customHeight="1">
      <x:c r="A58" s="61"/>
      <x:c r="B58" s="69" t="str">
        <x:f>TEXT(D58,"yyyy-mm")</x:f>
        <x:v>2026-12</x:v>
      </x:c>
      <x:c r="C58" s="72" t="str">
        <x:v>P50</x:v>
      </x:c>
      <x:c r="D58" s="90" t="n">
        <x:f>INDEX('Calendário'!$C$9:$C$214,MATCH($C58,'Calendário'!$B$9:$B$214,0))</x:f>
        <x:v>46365.5</x:v>
      </x:c>
      <x:c r="E58" s="69" t="str">
        <x:f>INDEX('Calendário'!$F$9:$F$214,MATCH($C58,'Calendário'!$B$9:$B$214,0))</x:f>
        <x:v>Reel</x:v>
      </x:c>
      <x:c r="F58" s="69" t="str">
        <x:f>INDEX('Calendário'!$G$9:$G$214,MATCH($C58,'Calendário'!$B$9:$B$214,0))</x:f>
        <x:v>Exemplo prático: nomes de arquivos.</x:v>
      </x:c>
      <x:c r="G58" s="78" t="str">
        <x:f>IF(INDEX('Calendário'!$P$9:$P$214,MATCH($C58,'Calendário'!$B$9:$B$214,0))="","",INDEX('Calendário'!$P$9:$P$214,MATCH($C58,'Calendário'!$B$9:$B$214,0)))</x:f>
      </x:c>
      <x:c r="H58" s="75" t="str">
        <x:v>Não iniciada</x:v>
      </x:c>
      <x:c r="I58" s="75" t="str">
        <x:v>Não iniciado</x:v>
      </x:c>
      <x:c r="J58" s="75" t="str">
        <x:v>Pendente</x:v>
      </x:c>
      <x:c r="K58" s="75" t="str">
        <x:v>Pendente</x:v>
      </x:c>
      <x:c r="L58" s="87" t="str">
        <x:f>(COUNTIFS('Calendário'!$B$9:$B$214,$C58,'Calendário'!$J$9:$J$214,"Agendado")+COUNTIFS('Calendário'!$B$9:$B$214,$C58,'Calendário'!$K$9:$K$214,"Agendado")+COUNTIFS('Calendário'!$B$9:$B$214,$C58,'Calendário'!$M$9:$M$214,"Agendado")+COUNTIFS('Calendário'!$B$9:$B$214,$C58,'Calendário'!$N$9:$N$214,"Agendado")+COUNTIFS('Calendário'!$B$9:$B$214,$C58,'Calendário'!$O$9:$O$214,"Agendado")+COUNTIFS('Calendário'!$B$9:$B$214,$C58,'Calendário'!$J$9:$J$214,"Publicado")+COUNTIFS('Calendário'!$B$9:$B$214,$C58,'Calendário'!$K$9:$K$214,"Publicado")+COUNTIFS('Calendário'!$B$9:$B$214,$C58,'Calendário'!$M$9:$M$214,"Publicado")+COUNTIFS('Calendário'!$B$9:$B$214,$C58,'Calendário'!$N$9:$N$214,"Publicado")+COUNTIFS('Calendário'!$B$9:$B$214,$C58,'Calendário'!$O$9:$O$214,"Publicado"))&amp;" de "&amp;(5-COUNTIFS('Calendário'!$B$9:$B$214,$C58,'Calendário'!$N$9:$N$214,"Não se aplica")-COUNTIFS('Calendário'!$B$9:$B$214,$C58,'Calendário'!$O$9:$O$214,"Não se aplica"))</x:f>
        <x:v>0 de 5</x:v>
      </x:c>
      <x:c r="M58" s="87" t="str">
        <x:f>(COUNTIFS('Calendário'!$B$9:$B$214,$C58,'Calendário'!$J$9:$J$214,"Publicado")+COUNTIFS('Calendário'!$B$9:$B$214,$C58,'Calendário'!$K$9:$K$214,"Publicado")+COUNTIFS('Calendário'!$B$9:$B$214,$C58,'Calendário'!$M$9:$M$214,"Publicado")+COUNTIFS('Calendário'!$B$9:$B$214,$C58,'Calendário'!$N$9:$N$214,"Publicado")+COUNTIFS('Calendário'!$B$9:$B$214,$C58,'Calendário'!$O$9:$O$214,"Publicado"))&amp;" de "&amp;(5-COUNTIFS('Calendário'!$B$9:$B$214,$C58,'Calendário'!$N$9:$N$214,"Não se aplica")-COUNTIFS('Calendário'!$B$9:$B$214,$C58,'Calendário'!$O$9:$O$214,"Não se aplica"))</x:f>
        <x:v>0 de 5</x:v>
      </x:c>
      <x:c r="N58" s="75"/>
      <x:c r="O58" s="75"/>
      <x:c r="P58" s="61"/>
    </x:row>
    <x:row r="59" ht="57" customHeight="1">
      <x:c r="A59" s="61"/>
      <x:c r="B59" s="69" t="str">
        <x:f>TEXT(D59,"yyyy-mm")</x:f>
        <x:v>2026-12</x:v>
      </x:c>
      <x:c r="C59" s="72" t="str">
        <x:v>P51</x:v>
      </x:c>
      <x:c r="D59" s="90" t="n">
        <x:f>INDEX('Calendário'!$C$9:$C$214,MATCH($C59,'Calendário'!$B$9:$B$214,0))</x:f>
        <x:v>46367.5</x:v>
      </x:c>
      <x:c r="E59" s="69" t="str">
        <x:f>INDEX('Calendário'!$F$9:$F$214,MATCH($C59,'Calendário'!$B$9:$B$214,0))</x:f>
        <x:v>Carrossel</x:v>
      </x:c>
      <x:c r="F59" s="69" t="str">
        <x:f>INDEX('Calendário'!$G$9:$G$214,MATCH($C59,'Calendário'!$B$9:$B$214,0))</x:f>
        <x:v>Checklist: nomes de arquivos.</x:v>
      </x:c>
      <x:c r="G59" s="78" t="str">
        <x:f>IF(INDEX('Calendário'!$P$9:$P$214,MATCH($C59,'Calendário'!$B$9:$B$214,0))="","",INDEX('Calendário'!$P$9:$P$214,MATCH($C59,'Calendário'!$B$9:$B$214,0)))</x:f>
      </x:c>
      <x:c r="H59" s="75" t="str">
        <x:v>Não iniciada</x:v>
      </x:c>
      <x:c r="I59" s="75" t="str">
        <x:v>Não se aplica</x:v>
      </x:c>
      <x:c r="J59" s="75" t="str">
        <x:v>Pendente</x:v>
      </x:c>
      <x:c r="K59" s="75" t="str">
        <x:v>Pendente</x:v>
      </x:c>
      <x:c r="L59" s="87" t="str">
        <x:f>(COUNTIFS('Calendário'!$B$9:$B$214,$C59,'Calendário'!$J$9:$J$214,"Agendado")+COUNTIFS('Calendário'!$B$9:$B$214,$C59,'Calendário'!$K$9:$K$214,"Agendado")+COUNTIFS('Calendário'!$B$9:$B$214,$C59,'Calendário'!$M$9:$M$214,"Agendado")+COUNTIFS('Calendário'!$B$9:$B$214,$C59,'Calendário'!$N$9:$N$214,"Agendado")+COUNTIFS('Calendário'!$B$9:$B$214,$C59,'Calendário'!$O$9:$O$214,"Agendado")+COUNTIFS('Calendário'!$B$9:$B$214,$C59,'Calendário'!$J$9:$J$214,"Publicado")+COUNTIFS('Calendário'!$B$9:$B$214,$C59,'Calendário'!$K$9:$K$214,"Publicado")+COUNTIFS('Calendário'!$B$9:$B$214,$C59,'Calendário'!$M$9:$M$214,"Publicado")+COUNTIFS('Calendário'!$B$9:$B$214,$C59,'Calendário'!$N$9:$N$214,"Publicado")+COUNTIFS('Calendário'!$B$9:$B$214,$C59,'Calendário'!$O$9:$O$214,"Publicado"))&amp;" de "&amp;(5-COUNTIFS('Calendário'!$B$9:$B$214,$C59,'Calendário'!$N$9:$N$214,"Não se aplica")-COUNTIFS('Calendário'!$B$9:$B$214,$C59,'Calendário'!$O$9:$O$214,"Não se aplica"))</x:f>
        <x:v>0 de 3</x:v>
      </x:c>
      <x:c r="M59" s="87" t="str">
        <x:f>(COUNTIFS('Calendário'!$B$9:$B$214,$C59,'Calendário'!$J$9:$J$214,"Publicado")+COUNTIFS('Calendário'!$B$9:$B$214,$C59,'Calendário'!$K$9:$K$214,"Publicado")+COUNTIFS('Calendário'!$B$9:$B$214,$C59,'Calendário'!$M$9:$M$214,"Publicado")+COUNTIFS('Calendário'!$B$9:$B$214,$C59,'Calendário'!$N$9:$N$214,"Publicado")+COUNTIFS('Calendário'!$B$9:$B$214,$C59,'Calendário'!$O$9:$O$214,"Publicado"))&amp;" de "&amp;(5-COUNTIFS('Calendário'!$B$9:$B$214,$C59,'Calendário'!$N$9:$N$214,"Não se aplica")-COUNTIFS('Calendário'!$B$9:$B$214,$C59,'Calendário'!$O$9:$O$214,"Não se aplica"))</x:f>
        <x:v>0 de 3</x:v>
      </x:c>
      <x:c r="N59" s="75"/>
      <x:c r="O59" s="75"/>
      <x:c r="P59" s="61"/>
    </x:row>
    <x:row r="60" ht="57" customHeight="1">
      <x:c r="A60" s="61"/>
      <x:c r="B60" s="69" t="str">
        <x:f>TEXT(D60,"yyyy-mm")</x:f>
        <x:v>2026-12</x:v>
      </x:c>
      <x:c r="C60" s="72" t="str">
        <x:v>P52</x:v>
      </x:c>
      <x:c r="D60" s="90" t="n">
        <x:f>INDEX('Calendário'!$C$9:$C$214,MATCH($C60,'Calendário'!$B$9:$B$214,0))</x:f>
        <x:v>46368.5</x:v>
      </x:c>
      <x:c r="E60" s="69" t="str">
        <x:f>INDEX('Calendário'!$F$9:$F$214,MATCH($C60,'Calendário'!$B$9:$B$214,0))</x:f>
        <x:v>Estático</x:v>
      </x:c>
      <x:c r="F60" s="69" t="str">
        <x:f>INDEX('Calendário'!$G$9:$G$214,MATCH($C60,'Calendário'!$B$9:$B$214,0))</x:f>
        <x:v>Qual informação não pode faltar no nome
de um arquivo?</x:v>
      </x:c>
      <x:c r="G60" s="78" t="str">
        <x:f>IF(INDEX('Calendário'!$P$9:$P$214,MATCH($C60,'Calendário'!$B$9:$B$214,0))="","",INDEX('Calendário'!$P$9:$P$214,MATCH($C60,'Calendário'!$B$9:$B$214,0)))</x:f>
      </x:c>
      <x:c r="H60" s="75" t="str">
        <x:v>Não iniciada</x:v>
      </x:c>
      <x:c r="I60" s="75" t="str">
        <x:v>Não se aplica</x:v>
      </x:c>
      <x:c r="J60" s="75" t="str">
        <x:v>Pendente</x:v>
      </x:c>
      <x:c r="K60" s="75" t="str">
        <x:v>Pendente</x:v>
      </x:c>
      <x:c r="L60" s="87" t="str">
        <x:f>(COUNTIFS('Calendário'!$B$9:$B$214,$C60,'Calendário'!$J$9:$J$214,"Agendado")+COUNTIFS('Calendário'!$B$9:$B$214,$C60,'Calendário'!$K$9:$K$214,"Agendado")+COUNTIFS('Calendário'!$B$9:$B$214,$C60,'Calendário'!$M$9:$M$214,"Agendado")+COUNTIFS('Calendário'!$B$9:$B$214,$C60,'Calendário'!$N$9:$N$214,"Agendado")+COUNTIFS('Calendário'!$B$9:$B$214,$C60,'Calendário'!$O$9:$O$214,"Agendado")+COUNTIFS('Calendário'!$B$9:$B$214,$C60,'Calendário'!$J$9:$J$214,"Publicado")+COUNTIFS('Calendário'!$B$9:$B$214,$C60,'Calendário'!$K$9:$K$214,"Publicado")+COUNTIFS('Calendário'!$B$9:$B$214,$C60,'Calendário'!$M$9:$M$214,"Publicado")+COUNTIFS('Calendário'!$B$9:$B$214,$C60,'Calendário'!$N$9:$N$214,"Publicado")+COUNTIFS('Calendário'!$B$9:$B$214,$C60,'Calendário'!$O$9:$O$214,"Publicado"))&amp;" de "&amp;(5-COUNTIFS('Calendário'!$B$9:$B$214,$C60,'Calendário'!$N$9:$N$214,"Não se aplica")-COUNTIFS('Calendário'!$B$9:$B$214,$C60,'Calendário'!$O$9:$O$214,"Não se aplica"))</x:f>
        <x:v>0 de 3</x:v>
      </x:c>
      <x:c r="M60" s="87" t="str">
        <x:f>(COUNTIFS('Calendário'!$B$9:$B$214,$C60,'Calendário'!$J$9:$J$214,"Publicado")+COUNTIFS('Calendário'!$B$9:$B$214,$C60,'Calendário'!$K$9:$K$214,"Publicado")+COUNTIFS('Calendário'!$B$9:$B$214,$C60,'Calendário'!$M$9:$M$214,"Publicado")+COUNTIFS('Calendário'!$B$9:$B$214,$C60,'Calendário'!$N$9:$N$214,"Publicado")+COUNTIFS('Calendário'!$B$9:$B$214,$C60,'Calendário'!$O$9:$O$214,"Publicado"))&amp;" de "&amp;(5-COUNTIFS('Calendário'!$B$9:$B$214,$C60,'Calendário'!$N$9:$N$214,"Não se aplica")-COUNTIFS('Calendário'!$B$9:$B$214,$C60,'Calendário'!$O$9:$O$214,"Não se aplica"))</x:f>
        <x:v>0 de 3</x:v>
      </x:c>
      <x:c r="N60" s="75"/>
      <x:c r="O60" s="75"/>
      <x:c r="P60" s="61"/>
    </x:row>
    <x:row r="61" ht="57" customHeight="1">
      <x:c r="A61" s="61"/>
      <x:c r="B61" s="69" t="str">
        <x:f>TEXT(D61,"yyyy-mm")</x:f>
        <x:v>2026-12</x:v>
      </x:c>
      <x:c r="C61" s="72" t="str">
        <x:v>P53</x:v>
      </x:c>
      <x:c r="D61" s="90" t="n">
        <x:f>INDEX('Calendário'!$C$9:$C$214,MATCH($C61,'Calendário'!$B$9:$B$214,0))</x:f>
        <x:v>46370.5</x:v>
      </x:c>
      <x:c r="E61" s="69" t="str">
        <x:f>INDEX('Calendário'!$F$9:$F$214,MATCH($C61,'Calendário'!$B$9:$B$214,0))</x:f>
        <x:v>Carrossel</x:v>
      </x:c>
      <x:c r="F61" s="69" t="str">
        <x:f>INDEX('Calendário'!$G$9:$G$214,MATCH($C61,'Calendário'!$B$9:$B$214,0))</x:f>
        <x:v>A decisão ficou documentada com contexto?</x:v>
      </x:c>
      <x:c r="G61" s="78" t="str">
        <x:f>IF(INDEX('Calendário'!$P$9:$P$214,MATCH($C61,'Calendário'!$B$9:$B$214,0))="","",INDEX('Calendário'!$P$9:$P$214,MATCH($C61,'Calendário'!$B$9:$B$214,0)))</x:f>
      </x:c>
      <x:c r="H61" s="75" t="str">
        <x:v>Não iniciada</x:v>
      </x:c>
      <x:c r="I61" s="75" t="str">
        <x:v>Não se aplica</x:v>
      </x:c>
      <x:c r="J61" s="75" t="str">
        <x:v>Pendente</x:v>
      </x:c>
      <x:c r="K61" s="75" t="str">
        <x:v>Pendente</x:v>
      </x:c>
      <x:c r="L61" s="87" t="str">
        <x:f>(COUNTIFS('Calendário'!$B$9:$B$214,$C61,'Calendário'!$J$9:$J$214,"Agendado")+COUNTIFS('Calendário'!$B$9:$B$214,$C61,'Calendário'!$K$9:$K$214,"Agendado")+COUNTIFS('Calendário'!$B$9:$B$214,$C61,'Calendário'!$M$9:$M$214,"Agendado")+COUNTIFS('Calendário'!$B$9:$B$214,$C61,'Calendário'!$N$9:$N$214,"Agendado")+COUNTIFS('Calendário'!$B$9:$B$214,$C61,'Calendário'!$O$9:$O$214,"Agendado")+COUNTIFS('Calendário'!$B$9:$B$214,$C61,'Calendário'!$J$9:$J$214,"Publicado")+COUNTIFS('Calendário'!$B$9:$B$214,$C61,'Calendário'!$K$9:$K$214,"Publicado")+COUNTIFS('Calendário'!$B$9:$B$214,$C61,'Calendário'!$M$9:$M$214,"Publicado")+COUNTIFS('Calendário'!$B$9:$B$214,$C61,'Calendário'!$N$9:$N$214,"Publicado")+COUNTIFS('Calendário'!$B$9:$B$214,$C61,'Calendário'!$O$9:$O$214,"Publicado"))&amp;" de "&amp;(5-COUNTIFS('Calendário'!$B$9:$B$214,$C61,'Calendário'!$N$9:$N$214,"Não se aplica")-COUNTIFS('Calendário'!$B$9:$B$214,$C61,'Calendário'!$O$9:$O$214,"Não se aplica"))</x:f>
        <x:v>0 de 3</x:v>
      </x:c>
      <x:c r="M61" s="87" t="str">
        <x:f>(COUNTIFS('Calendário'!$B$9:$B$214,$C61,'Calendário'!$J$9:$J$214,"Publicado")+COUNTIFS('Calendário'!$B$9:$B$214,$C61,'Calendário'!$K$9:$K$214,"Publicado")+COUNTIFS('Calendário'!$B$9:$B$214,$C61,'Calendário'!$M$9:$M$214,"Publicado")+COUNTIFS('Calendário'!$B$9:$B$214,$C61,'Calendário'!$N$9:$N$214,"Publicado")+COUNTIFS('Calendário'!$B$9:$B$214,$C61,'Calendário'!$O$9:$O$214,"Publicado"))&amp;" de "&amp;(5-COUNTIFS('Calendário'!$B$9:$B$214,$C61,'Calendário'!$N$9:$N$214,"Não se aplica")-COUNTIFS('Calendário'!$B$9:$B$214,$C61,'Calendário'!$O$9:$O$214,"Não se aplica"))</x:f>
        <x:v>0 de 3</x:v>
      </x:c>
      <x:c r="N61" s="75"/>
      <x:c r="O61" s="75"/>
      <x:c r="P61" s="61"/>
    </x:row>
    <x:row r="62" ht="57" customHeight="1">
      <x:c r="A62" s="61"/>
      <x:c r="B62" s="69" t="str">
        <x:f>TEXT(D62,"yyyy-mm")</x:f>
        <x:v>2026-12</x:v>
      </x:c>
      <x:c r="C62" s="72" t="str">
        <x:v>P54</x:v>
      </x:c>
      <x:c r="D62" s="90" t="n">
        <x:f>INDEX('Calendário'!$C$9:$C$214,MATCH($C62,'Calendário'!$B$9:$B$214,0))</x:f>
        <x:v>46372.5</x:v>
      </x:c>
      <x:c r="E62" s="69" t="str">
        <x:f>INDEX('Calendário'!$F$9:$F$214,MATCH($C62,'Calendário'!$B$9:$B$214,0))</x:f>
        <x:v>Reel</x:v>
      </x:c>
      <x:c r="F62" s="69" t="str">
        <x:f>INDEX('Calendário'!$G$9:$G$214,MATCH($C62,'Calendário'!$B$9:$B$214,0))</x:f>
        <x:v>Exemplo prático: registro de decisões.</x:v>
      </x:c>
      <x:c r="G62" s="78" t="str">
        <x:f>IF(INDEX('Calendário'!$P$9:$P$214,MATCH($C62,'Calendário'!$B$9:$B$214,0))="","",INDEX('Calendário'!$P$9:$P$214,MATCH($C62,'Calendário'!$B$9:$B$214,0)))</x:f>
      </x:c>
      <x:c r="H62" s="75" t="str">
        <x:v>Não iniciada</x:v>
      </x:c>
      <x:c r="I62" s="75" t="str">
        <x:v>Não iniciado</x:v>
      </x:c>
      <x:c r="J62" s="75" t="str">
        <x:v>Pendente</x:v>
      </x:c>
      <x:c r="K62" s="75" t="str">
        <x:v>Pendente</x:v>
      </x:c>
      <x:c r="L62" s="87" t="str">
        <x:f>(COUNTIFS('Calendário'!$B$9:$B$214,$C62,'Calendário'!$J$9:$J$214,"Agendado")+COUNTIFS('Calendário'!$B$9:$B$214,$C62,'Calendário'!$K$9:$K$214,"Agendado")+COUNTIFS('Calendário'!$B$9:$B$214,$C62,'Calendário'!$M$9:$M$214,"Agendado")+COUNTIFS('Calendário'!$B$9:$B$214,$C62,'Calendário'!$N$9:$N$214,"Agendado")+COUNTIFS('Calendário'!$B$9:$B$214,$C62,'Calendário'!$O$9:$O$214,"Agendado")+COUNTIFS('Calendário'!$B$9:$B$214,$C62,'Calendário'!$J$9:$J$214,"Publicado")+COUNTIFS('Calendário'!$B$9:$B$214,$C62,'Calendário'!$K$9:$K$214,"Publicado")+COUNTIFS('Calendário'!$B$9:$B$214,$C62,'Calendário'!$M$9:$M$214,"Publicado")+COUNTIFS('Calendário'!$B$9:$B$214,$C62,'Calendário'!$N$9:$N$214,"Publicado")+COUNTIFS('Calendário'!$B$9:$B$214,$C62,'Calendário'!$O$9:$O$214,"Publicado"))&amp;" de "&amp;(5-COUNTIFS('Calendário'!$B$9:$B$214,$C62,'Calendário'!$N$9:$N$214,"Não se aplica")-COUNTIFS('Calendário'!$B$9:$B$214,$C62,'Calendário'!$O$9:$O$214,"Não se aplica"))</x:f>
        <x:v>0 de 5</x:v>
      </x:c>
      <x:c r="M62" s="87" t="str">
        <x:f>(COUNTIFS('Calendário'!$B$9:$B$214,$C62,'Calendário'!$J$9:$J$214,"Publicado")+COUNTIFS('Calendário'!$B$9:$B$214,$C62,'Calendário'!$K$9:$K$214,"Publicado")+COUNTIFS('Calendário'!$B$9:$B$214,$C62,'Calendário'!$M$9:$M$214,"Publicado")+COUNTIFS('Calendário'!$B$9:$B$214,$C62,'Calendário'!$N$9:$N$214,"Publicado")+COUNTIFS('Calendário'!$B$9:$B$214,$C62,'Calendário'!$O$9:$O$214,"Publicado"))&amp;" de "&amp;(5-COUNTIFS('Calendário'!$B$9:$B$214,$C62,'Calendário'!$N$9:$N$214,"Não se aplica")-COUNTIFS('Calendário'!$B$9:$B$214,$C62,'Calendário'!$O$9:$O$214,"Não se aplica"))</x:f>
        <x:v>0 de 5</x:v>
      </x:c>
      <x:c r="N62" s="75"/>
      <x:c r="O62" s="75"/>
      <x:c r="P62" s="61"/>
    </x:row>
    <x:row r="63" ht="57" customHeight="1">
      <x:c r="A63" s="61"/>
      <x:c r="B63" s="69" t="str">
        <x:f>TEXT(D63,"yyyy-mm")</x:f>
        <x:v>2026-12</x:v>
      </x:c>
      <x:c r="C63" s="72" t="str">
        <x:v>P55</x:v>
      </x:c>
      <x:c r="D63" s="90" t="n">
        <x:f>INDEX('Calendário'!$C$9:$C$214,MATCH($C63,'Calendário'!$B$9:$B$214,0))</x:f>
        <x:v>46374.5</x:v>
      </x:c>
      <x:c r="E63" s="69" t="str">
        <x:f>INDEX('Calendário'!$F$9:$F$214,MATCH($C63,'Calendário'!$B$9:$B$214,0))</x:f>
        <x:v>Carrossel</x:v>
      </x:c>
      <x:c r="F63" s="69" t="str">
        <x:f>INDEX('Calendário'!$G$9:$G$214,MATCH($C63,'Calendário'!$B$9:$B$214,0))</x:f>
        <x:v>Checklist: registro de decisões.</x:v>
      </x:c>
      <x:c r="G63" s="78" t="str">
        <x:f>IF(INDEX('Calendário'!$P$9:$P$214,MATCH($C63,'Calendário'!$B$9:$B$214,0))="","",INDEX('Calendário'!$P$9:$P$214,MATCH($C63,'Calendário'!$B$9:$B$214,0)))</x:f>
      </x:c>
      <x:c r="H63" s="75" t="str">
        <x:v>Não iniciada</x:v>
      </x:c>
      <x:c r="I63" s="75" t="str">
        <x:v>Não se aplica</x:v>
      </x:c>
      <x:c r="J63" s="75" t="str">
        <x:v>Pendente</x:v>
      </x:c>
      <x:c r="K63" s="75" t="str">
        <x:v>Pendente</x:v>
      </x:c>
      <x:c r="L63" s="87" t="str">
        <x:f>(COUNTIFS('Calendário'!$B$9:$B$214,$C63,'Calendário'!$J$9:$J$214,"Agendado")+COUNTIFS('Calendário'!$B$9:$B$214,$C63,'Calendário'!$K$9:$K$214,"Agendado")+COUNTIFS('Calendário'!$B$9:$B$214,$C63,'Calendário'!$M$9:$M$214,"Agendado")+COUNTIFS('Calendário'!$B$9:$B$214,$C63,'Calendário'!$N$9:$N$214,"Agendado")+COUNTIFS('Calendário'!$B$9:$B$214,$C63,'Calendário'!$O$9:$O$214,"Agendado")+COUNTIFS('Calendário'!$B$9:$B$214,$C63,'Calendário'!$J$9:$J$214,"Publicado")+COUNTIFS('Calendário'!$B$9:$B$214,$C63,'Calendário'!$K$9:$K$214,"Publicado")+COUNTIFS('Calendário'!$B$9:$B$214,$C63,'Calendário'!$M$9:$M$214,"Publicado")+COUNTIFS('Calendário'!$B$9:$B$214,$C63,'Calendário'!$N$9:$N$214,"Publicado")+COUNTIFS('Calendário'!$B$9:$B$214,$C63,'Calendário'!$O$9:$O$214,"Publicado"))&amp;" de "&amp;(5-COUNTIFS('Calendário'!$B$9:$B$214,$C63,'Calendário'!$N$9:$N$214,"Não se aplica")-COUNTIFS('Calendário'!$B$9:$B$214,$C63,'Calendário'!$O$9:$O$214,"Não se aplica"))</x:f>
        <x:v>0 de 3</x:v>
      </x:c>
      <x:c r="M63" s="87" t="str">
        <x:f>(COUNTIFS('Calendário'!$B$9:$B$214,$C63,'Calendário'!$J$9:$J$214,"Publicado")+COUNTIFS('Calendário'!$B$9:$B$214,$C63,'Calendário'!$K$9:$K$214,"Publicado")+COUNTIFS('Calendário'!$B$9:$B$214,$C63,'Calendário'!$M$9:$M$214,"Publicado")+COUNTIFS('Calendário'!$B$9:$B$214,$C63,'Calendário'!$N$9:$N$214,"Publicado")+COUNTIFS('Calendário'!$B$9:$B$214,$C63,'Calendário'!$O$9:$O$214,"Publicado"))&amp;" de "&amp;(5-COUNTIFS('Calendário'!$B$9:$B$214,$C63,'Calendário'!$N$9:$N$214,"Não se aplica")-COUNTIFS('Calendário'!$B$9:$B$214,$C63,'Calendário'!$O$9:$O$214,"Não se aplica"))</x:f>
        <x:v>0 de 3</x:v>
      </x:c>
      <x:c r="N63" s="75"/>
      <x:c r="O63" s="75"/>
      <x:c r="P63" s="61"/>
    </x:row>
    <x:row r="64" ht="57" customHeight="1">
      <x:c r="A64" s="61"/>
      <x:c r="B64" s="69" t="str">
        <x:f>TEXT(D64,"yyyy-mm")</x:f>
        <x:v>2026-12</x:v>
      </x:c>
      <x:c r="C64" s="72" t="str">
        <x:v>P56</x:v>
      </x:c>
      <x:c r="D64" s="90" t="n">
        <x:f>INDEX('Calendário'!$C$9:$C$214,MATCH($C64,'Calendário'!$B$9:$B$214,0))</x:f>
        <x:v>46375.5</x:v>
      </x:c>
      <x:c r="E64" s="69" t="str">
        <x:f>INDEX('Calendário'!$F$9:$F$214,MATCH($C64,'Calendário'!$B$9:$B$214,0))</x:f>
        <x:v>Estático</x:v>
      </x:c>
      <x:c r="F64" s="69" t="str">
        <x:f>INDEX('Calendário'!$G$9:$G$214,MATCH($C64,'Calendário'!$B$9:$B$214,0))</x:f>
        <x:v>O que você registra além da conclusão de
uma reunião?</x:v>
      </x:c>
      <x:c r="G64" s="78" t="str">
        <x:f>IF(INDEX('Calendário'!$P$9:$P$214,MATCH($C64,'Calendário'!$B$9:$B$214,0))="","",INDEX('Calendário'!$P$9:$P$214,MATCH($C64,'Calendário'!$B$9:$B$214,0)))</x:f>
      </x:c>
      <x:c r="H64" s="75" t="str">
        <x:v>Não iniciada</x:v>
      </x:c>
      <x:c r="I64" s="75" t="str">
        <x:v>Não se aplica</x:v>
      </x:c>
      <x:c r="J64" s="75" t="str">
        <x:v>Pendente</x:v>
      </x:c>
      <x:c r="K64" s="75" t="str">
        <x:v>Pendente</x:v>
      </x:c>
      <x:c r="L64" s="87" t="str">
        <x:f>(COUNTIFS('Calendário'!$B$9:$B$214,$C64,'Calendário'!$J$9:$J$214,"Agendado")+COUNTIFS('Calendário'!$B$9:$B$214,$C64,'Calendário'!$K$9:$K$214,"Agendado")+COUNTIFS('Calendário'!$B$9:$B$214,$C64,'Calendário'!$M$9:$M$214,"Agendado")+COUNTIFS('Calendário'!$B$9:$B$214,$C64,'Calendário'!$N$9:$N$214,"Agendado")+COUNTIFS('Calendário'!$B$9:$B$214,$C64,'Calendário'!$O$9:$O$214,"Agendado")+COUNTIFS('Calendário'!$B$9:$B$214,$C64,'Calendário'!$J$9:$J$214,"Publicado")+COUNTIFS('Calendário'!$B$9:$B$214,$C64,'Calendário'!$K$9:$K$214,"Publicado")+COUNTIFS('Calendário'!$B$9:$B$214,$C64,'Calendário'!$M$9:$M$214,"Publicado")+COUNTIFS('Calendário'!$B$9:$B$214,$C64,'Calendário'!$N$9:$N$214,"Publicado")+COUNTIFS('Calendário'!$B$9:$B$214,$C64,'Calendário'!$O$9:$O$214,"Publicado"))&amp;" de "&amp;(5-COUNTIFS('Calendário'!$B$9:$B$214,$C64,'Calendário'!$N$9:$N$214,"Não se aplica")-COUNTIFS('Calendário'!$B$9:$B$214,$C64,'Calendário'!$O$9:$O$214,"Não se aplica"))</x:f>
        <x:v>0 de 3</x:v>
      </x:c>
      <x:c r="M64" s="87" t="str">
        <x:f>(COUNTIFS('Calendário'!$B$9:$B$214,$C64,'Calendário'!$J$9:$J$214,"Publicado")+COUNTIFS('Calendário'!$B$9:$B$214,$C64,'Calendário'!$K$9:$K$214,"Publicado")+COUNTIFS('Calendário'!$B$9:$B$214,$C64,'Calendário'!$M$9:$M$214,"Publicado")+COUNTIFS('Calendário'!$B$9:$B$214,$C64,'Calendário'!$N$9:$N$214,"Publicado")+COUNTIFS('Calendário'!$B$9:$B$214,$C64,'Calendário'!$O$9:$O$214,"Publicado"))&amp;" de "&amp;(5-COUNTIFS('Calendário'!$B$9:$B$214,$C64,'Calendário'!$N$9:$N$214,"Não se aplica")-COUNTIFS('Calendário'!$B$9:$B$214,$C64,'Calendário'!$O$9:$O$214,"Não se aplica"))</x:f>
        <x:v>0 de 3</x:v>
      </x:c>
      <x:c r="N64" s="75"/>
      <x:c r="O64" s="75"/>
      <x:c r="P64" s="61"/>
    </x:row>
    <x:row r="65" ht="57" customHeight="1">
      <x:c r="A65" s="61"/>
      <x:c r="B65" s="69" t="str">
        <x:f>TEXT(D65,"yyyy-mm")</x:f>
        <x:v>2026-12</x:v>
      </x:c>
      <x:c r="C65" s="72" t="str">
        <x:v>P57</x:v>
      </x:c>
      <x:c r="D65" s="90" t="n">
        <x:f>INDEX('Calendário'!$C$9:$C$214,MATCH($C65,'Calendário'!$B$9:$B$214,0))</x:f>
        <x:v>46377.5</x:v>
      </x:c>
      <x:c r="E65" s="69" t="str">
        <x:f>INDEX('Calendário'!$F$9:$F$214,MATCH($C65,'Calendário'!$B$9:$B$214,0))</x:f>
        <x:v>Carrossel</x:v>
      </x:c>
      <x:c r="F65" s="69" t="str">
        <x:f>INDEX('Calendário'!$G$9:$G$214,MATCH($C65,'Calendário'!$B$9:$B$214,0))</x:f>
        <x:v>Quem consulta, quem responde e quem
decide?</x:v>
      </x:c>
      <x:c r="G65" s="78" t="str">
        <x:f>IF(INDEX('Calendário'!$P$9:$P$214,MATCH($C65,'Calendário'!$B$9:$B$214,0))="","",INDEX('Calendário'!$P$9:$P$214,MATCH($C65,'Calendário'!$B$9:$B$214,0)))</x:f>
      </x:c>
      <x:c r="H65" s="75" t="str">
        <x:v>Não iniciada</x:v>
      </x:c>
      <x:c r="I65" s="75" t="str">
        <x:v>Não se aplica</x:v>
      </x:c>
      <x:c r="J65" s="75" t="str">
        <x:v>Pendente</x:v>
      </x:c>
      <x:c r="K65" s="75" t="str">
        <x:v>Pendente</x:v>
      </x:c>
      <x:c r="L65" s="87" t="str">
        <x:f>(COUNTIFS('Calendário'!$B$9:$B$214,$C65,'Calendário'!$J$9:$J$214,"Agendado")+COUNTIFS('Calendário'!$B$9:$B$214,$C65,'Calendário'!$K$9:$K$214,"Agendado")+COUNTIFS('Calendário'!$B$9:$B$214,$C65,'Calendário'!$M$9:$M$214,"Agendado")+COUNTIFS('Calendário'!$B$9:$B$214,$C65,'Calendário'!$N$9:$N$214,"Agendado")+COUNTIFS('Calendário'!$B$9:$B$214,$C65,'Calendário'!$O$9:$O$214,"Agendado")+COUNTIFS('Calendário'!$B$9:$B$214,$C65,'Calendário'!$J$9:$J$214,"Publicado")+COUNTIFS('Calendário'!$B$9:$B$214,$C65,'Calendário'!$K$9:$K$214,"Publicado")+COUNTIFS('Calendário'!$B$9:$B$214,$C65,'Calendário'!$M$9:$M$214,"Publicado")+COUNTIFS('Calendário'!$B$9:$B$214,$C65,'Calendário'!$N$9:$N$214,"Publicado")+COUNTIFS('Calendário'!$B$9:$B$214,$C65,'Calendário'!$O$9:$O$214,"Publicado"))&amp;" de "&amp;(5-COUNTIFS('Calendário'!$B$9:$B$214,$C65,'Calendário'!$N$9:$N$214,"Não se aplica")-COUNTIFS('Calendário'!$B$9:$B$214,$C65,'Calendário'!$O$9:$O$214,"Não se aplica"))</x:f>
        <x:v>0 de 3</x:v>
      </x:c>
      <x:c r="M65" s="87" t="str">
        <x:f>(COUNTIFS('Calendário'!$B$9:$B$214,$C65,'Calendário'!$J$9:$J$214,"Publicado")+COUNTIFS('Calendário'!$B$9:$B$214,$C65,'Calendário'!$K$9:$K$214,"Publicado")+COUNTIFS('Calendário'!$B$9:$B$214,$C65,'Calendário'!$M$9:$M$214,"Publicado")+COUNTIFS('Calendário'!$B$9:$B$214,$C65,'Calendário'!$N$9:$N$214,"Publicado")+COUNTIFS('Calendário'!$B$9:$B$214,$C65,'Calendário'!$O$9:$O$214,"Publicado"))&amp;" de "&amp;(5-COUNTIFS('Calendário'!$B$9:$B$214,$C65,'Calendário'!$N$9:$N$214,"Não se aplica")-COUNTIFS('Calendário'!$B$9:$B$214,$C65,'Calendário'!$O$9:$O$214,"Não se aplica"))</x:f>
        <x:v>0 de 3</x:v>
      </x:c>
      <x:c r="N65" s="75"/>
      <x:c r="O65" s="75"/>
      <x:c r="P65" s="61"/>
    </x:row>
    <x:row r="66" ht="57" customHeight="1">
      <x:c r="A66" s="61"/>
      <x:c r="B66" s="69" t="str">
        <x:f>TEXT(D66,"yyyy-mm")</x:f>
        <x:v>2026-12</x:v>
      </x:c>
      <x:c r="C66" s="72" t="str">
        <x:v>P58</x:v>
      </x:c>
      <x:c r="D66" s="90" t="n">
        <x:f>INDEX('Calendário'!$C$9:$C$214,MATCH($C66,'Calendário'!$B$9:$B$214,0))</x:f>
        <x:v>46379.5</x:v>
      </x:c>
      <x:c r="E66" s="69" t="str">
        <x:f>INDEX('Calendário'!$F$9:$F$214,MATCH($C66,'Calendário'!$B$9:$B$214,0))</x:f>
        <x:v>Reel</x:v>
      </x:c>
      <x:c r="F66" s="69" t="str">
        <x:f>INDEX('Calendário'!$G$9:$G$214,MATCH($C66,'Calendário'!$B$9:$B$214,0))</x:f>
        <x:v>Exemplo prático: responsabilidades na
revisão.</x:v>
      </x:c>
      <x:c r="G66" s="78" t="str">
        <x:f>IF(INDEX('Calendário'!$P$9:$P$214,MATCH($C66,'Calendário'!$B$9:$B$214,0))="","",INDEX('Calendário'!$P$9:$P$214,MATCH($C66,'Calendário'!$B$9:$B$214,0)))</x:f>
      </x:c>
      <x:c r="H66" s="75" t="str">
        <x:v>Não iniciada</x:v>
      </x:c>
      <x:c r="I66" s="75" t="str">
        <x:v>Não iniciado</x:v>
      </x:c>
      <x:c r="J66" s="75" t="str">
        <x:v>Pendente</x:v>
      </x:c>
      <x:c r="K66" s="75" t="str">
        <x:v>Pendente</x:v>
      </x:c>
      <x:c r="L66" s="87" t="str">
        <x:f>(COUNTIFS('Calendário'!$B$9:$B$214,$C66,'Calendário'!$J$9:$J$214,"Agendado")+COUNTIFS('Calendário'!$B$9:$B$214,$C66,'Calendário'!$K$9:$K$214,"Agendado")+COUNTIFS('Calendário'!$B$9:$B$214,$C66,'Calendário'!$M$9:$M$214,"Agendado")+COUNTIFS('Calendário'!$B$9:$B$214,$C66,'Calendário'!$N$9:$N$214,"Agendado")+COUNTIFS('Calendário'!$B$9:$B$214,$C66,'Calendário'!$O$9:$O$214,"Agendado")+COUNTIFS('Calendário'!$B$9:$B$214,$C66,'Calendário'!$J$9:$J$214,"Publicado")+COUNTIFS('Calendário'!$B$9:$B$214,$C66,'Calendário'!$K$9:$K$214,"Publicado")+COUNTIFS('Calendário'!$B$9:$B$214,$C66,'Calendário'!$M$9:$M$214,"Publicado")+COUNTIFS('Calendário'!$B$9:$B$214,$C66,'Calendário'!$N$9:$N$214,"Publicado")+COUNTIFS('Calendário'!$B$9:$B$214,$C66,'Calendário'!$O$9:$O$214,"Publicado"))&amp;" de "&amp;(5-COUNTIFS('Calendário'!$B$9:$B$214,$C66,'Calendário'!$N$9:$N$214,"Não se aplica")-COUNTIFS('Calendário'!$B$9:$B$214,$C66,'Calendário'!$O$9:$O$214,"Não se aplica"))</x:f>
        <x:v>0 de 5</x:v>
      </x:c>
      <x:c r="M66" s="87" t="str">
        <x:f>(COUNTIFS('Calendário'!$B$9:$B$214,$C66,'Calendário'!$J$9:$J$214,"Publicado")+COUNTIFS('Calendário'!$B$9:$B$214,$C66,'Calendário'!$K$9:$K$214,"Publicado")+COUNTIFS('Calendário'!$B$9:$B$214,$C66,'Calendário'!$M$9:$M$214,"Publicado")+COUNTIFS('Calendário'!$B$9:$B$214,$C66,'Calendário'!$N$9:$N$214,"Publicado")+COUNTIFS('Calendário'!$B$9:$B$214,$C66,'Calendário'!$O$9:$O$214,"Publicado"))&amp;" de "&amp;(5-COUNTIFS('Calendário'!$B$9:$B$214,$C66,'Calendário'!$N$9:$N$214,"Não se aplica")-COUNTIFS('Calendário'!$B$9:$B$214,$C66,'Calendário'!$O$9:$O$214,"Não se aplica"))</x:f>
        <x:v>0 de 5</x:v>
      </x:c>
      <x:c r="N66" s="75"/>
      <x:c r="O66" s="75"/>
      <x:c r="P66" s="61"/>
    </x:row>
    <x:row r="67" ht="57" customHeight="1">
      <x:c r="A67" s="61"/>
      <x:c r="B67" s="69" t="str">
        <x:f>TEXT(D67,"yyyy-mm")</x:f>
        <x:v>2026-12</x:v>
      </x:c>
      <x:c r="C67" s="72" t="str">
        <x:v>P59</x:v>
      </x:c>
      <x:c r="D67" s="90" t="n">
        <x:f>INDEX('Calendário'!$C$9:$C$214,MATCH($C67,'Calendário'!$B$9:$B$214,0))</x:f>
        <x:v>46381.5</x:v>
      </x:c>
      <x:c r="E67" s="69" t="str">
        <x:f>INDEX('Calendário'!$F$9:$F$214,MATCH($C67,'Calendário'!$B$9:$B$214,0))</x:f>
        <x:v>Carrossel</x:v>
      </x:c>
      <x:c r="F67" s="69" t="str">
        <x:f>INDEX('Calendário'!$G$9:$G$214,MATCH($C67,'Calendário'!$B$9:$B$214,0))</x:f>
        <x:v>Checklist: responsabilidades na revisão.</x:v>
      </x:c>
      <x:c r="G67" s="78" t="str">
        <x:f>IF(INDEX('Calendário'!$P$9:$P$214,MATCH($C67,'Calendário'!$B$9:$B$214,0))="","",INDEX('Calendário'!$P$9:$P$214,MATCH($C67,'Calendário'!$B$9:$B$214,0)))</x:f>
      </x:c>
      <x:c r="H67" s="75" t="str">
        <x:v>Não iniciada</x:v>
      </x:c>
      <x:c r="I67" s="75" t="str">
        <x:v>Não se aplica</x:v>
      </x:c>
      <x:c r="J67" s="75" t="str">
        <x:v>Pendente</x:v>
      </x:c>
      <x:c r="K67" s="75" t="str">
        <x:v>Pendente</x:v>
      </x:c>
      <x:c r="L67" s="87" t="str">
        <x:f>(COUNTIFS('Calendário'!$B$9:$B$214,$C67,'Calendário'!$J$9:$J$214,"Agendado")+COUNTIFS('Calendário'!$B$9:$B$214,$C67,'Calendário'!$K$9:$K$214,"Agendado")+COUNTIFS('Calendário'!$B$9:$B$214,$C67,'Calendário'!$M$9:$M$214,"Agendado")+COUNTIFS('Calendário'!$B$9:$B$214,$C67,'Calendário'!$N$9:$N$214,"Agendado")+COUNTIFS('Calendário'!$B$9:$B$214,$C67,'Calendário'!$O$9:$O$214,"Agendado")+COUNTIFS('Calendário'!$B$9:$B$214,$C67,'Calendário'!$J$9:$J$214,"Publicado")+COUNTIFS('Calendário'!$B$9:$B$214,$C67,'Calendário'!$K$9:$K$214,"Publicado")+COUNTIFS('Calendário'!$B$9:$B$214,$C67,'Calendário'!$M$9:$M$214,"Publicado")+COUNTIFS('Calendário'!$B$9:$B$214,$C67,'Calendário'!$N$9:$N$214,"Publicado")+COUNTIFS('Calendário'!$B$9:$B$214,$C67,'Calendário'!$O$9:$O$214,"Publicado"))&amp;" de "&amp;(5-COUNTIFS('Calendário'!$B$9:$B$214,$C67,'Calendário'!$N$9:$N$214,"Não se aplica")-COUNTIFS('Calendário'!$B$9:$B$214,$C67,'Calendário'!$O$9:$O$214,"Não se aplica"))</x:f>
        <x:v>0 de 3</x:v>
      </x:c>
      <x:c r="M67" s="87" t="str">
        <x:f>(COUNTIFS('Calendário'!$B$9:$B$214,$C67,'Calendário'!$J$9:$J$214,"Publicado")+COUNTIFS('Calendário'!$B$9:$B$214,$C67,'Calendário'!$K$9:$K$214,"Publicado")+COUNTIFS('Calendário'!$B$9:$B$214,$C67,'Calendário'!$M$9:$M$214,"Publicado")+COUNTIFS('Calendário'!$B$9:$B$214,$C67,'Calendário'!$N$9:$N$214,"Publicado")+COUNTIFS('Calendário'!$B$9:$B$214,$C67,'Calendário'!$O$9:$O$214,"Publicado"))&amp;" de "&amp;(5-COUNTIFS('Calendário'!$B$9:$B$214,$C67,'Calendário'!$N$9:$N$214,"Não se aplica")-COUNTIFS('Calendário'!$B$9:$B$214,$C67,'Calendário'!$O$9:$O$214,"Não se aplica"))</x:f>
        <x:v>0 de 3</x:v>
      </x:c>
      <x:c r="N67" s="75"/>
      <x:c r="O67" s="75"/>
      <x:c r="P67" s="61"/>
    </x:row>
    <x:row r="68" ht="57" customHeight="1">
      <x:c r="A68" s="61"/>
      <x:c r="B68" s="69" t="str">
        <x:f>TEXT(D68,"yyyy-mm")</x:f>
        <x:v>2026-12</x:v>
      </x:c>
      <x:c r="C68" s="72" t="str">
        <x:v>P60</x:v>
      </x:c>
      <x:c r="D68" s="90" t="n">
        <x:f>INDEX('Calendário'!$C$9:$C$214,MATCH($C68,'Calendário'!$B$9:$B$214,0))</x:f>
        <x:v>46382.5</x:v>
      </x:c>
      <x:c r="E68" s="69" t="str">
        <x:f>INDEX('Calendário'!$F$9:$F$214,MATCH($C68,'Calendário'!$B$9:$B$214,0))</x:f>
        <x:v>Estático</x:v>
      </x:c>
      <x:c r="F68" s="69" t="str">
        <x:f>INDEX('Calendário'!$G$9:$G$214,MATCH($C68,'Calendário'!$B$9:$B$214,0))</x:f>
        <x:v>Sua equipe distingue quem responde de
quem decide?</x:v>
      </x:c>
      <x:c r="G68" s="78" t="str">
        <x:f>IF(INDEX('Calendário'!$P$9:$P$214,MATCH($C68,'Calendário'!$B$9:$B$214,0))="","",INDEX('Calendário'!$P$9:$P$214,MATCH($C68,'Calendário'!$B$9:$B$214,0)))</x:f>
      </x:c>
      <x:c r="H68" s="75" t="str">
        <x:v>Não iniciada</x:v>
      </x:c>
      <x:c r="I68" s="75" t="str">
        <x:v>Não se aplica</x:v>
      </x:c>
      <x:c r="J68" s="75" t="str">
        <x:v>Pendente</x:v>
      </x:c>
      <x:c r="K68" s="75" t="str">
        <x:v>Pendente</x:v>
      </x:c>
      <x:c r="L68" s="87" t="str">
        <x:f>(COUNTIFS('Calendário'!$B$9:$B$214,$C68,'Calendário'!$J$9:$J$214,"Agendado")+COUNTIFS('Calendário'!$B$9:$B$214,$C68,'Calendário'!$K$9:$K$214,"Agendado")+COUNTIFS('Calendário'!$B$9:$B$214,$C68,'Calendário'!$M$9:$M$214,"Agendado")+COUNTIFS('Calendário'!$B$9:$B$214,$C68,'Calendário'!$N$9:$N$214,"Agendado")+COUNTIFS('Calendário'!$B$9:$B$214,$C68,'Calendário'!$O$9:$O$214,"Agendado")+COUNTIFS('Calendário'!$B$9:$B$214,$C68,'Calendário'!$J$9:$J$214,"Publicado")+COUNTIFS('Calendário'!$B$9:$B$214,$C68,'Calendário'!$K$9:$K$214,"Publicado")+COUNTIFS('Calendário'!$B$9:$B$214,$C68,'Calendário'!$M$9:$M$214,"Publicado")+COUNTIFS('Calendário'!$B$9:$B$214,$C68,'Calendário'!$N$9:$N$214,"Publicado")+COUNTIFS('Calendário'!$B$9:$B$214,$C68,'Calendário'!$O$9:$O$214,"Publicado"))&amp;" de "&amp;(5-COUNTIFS('Calendário'!$B$9:$B$214,$C68,'Calendário'!$N$9:$N$214,"Não se aplica")-COUNTIFS('Calendário'!$B$9:$B$214,$C68,'Calendário'!$O$9:$O$214,"Não se aplica"))</x:f>
        <x:v>0 de 3</x:v>
      </x:c>
      <x:c r="M68" s="87" t="str">
        <x:f>(COUNTIFS('Calendário'!$B$9:$B$214,$C68,'Calendário'!$J$9:$J$214,"Publicado")+COUNTIFS('Calendário'!$B$9:$B$214,$C68,'Calendário'!$K$9:$K$214,"Publicado")+COUNTIFS('Calendário'!$B$9:$B$214,$C68,'Calendário'!$M$9:$M$214,"Publicado")+COUNTIFS('Calendário'!$B$9:$B$214,$C68,'Calendário'!$N$9:$N$214,"Publicado")+COUNTIFS('Calendário'!$B$9:$B$214,$C68,'Calendário'!$O$9:$O$214,"Publicado"))&amp;" de "&amp;(5-COUNTIFS('Calendário'!$B$9:$B$214,$C68,'Calendário'!$N$9:$N$214,"Não se aplica")-COUNTIFS('Calendário'!$B$9:$B$214,$C68,'Calendário'!$O$9:$O$214,"Não se aplica"))</x:f>
        <x:v>0 de 3</x:v>
      </x:c>
      <x:c r="N68" s="75"/>
      <x:c r="O68" s="75"/>
      <x:c r="P68" s="61"/>
    </x:row>
    <x:row r="69" ht="57" customHeight="1">
      <x:c r="A69" s="61"/>
      <x:c r="B69" s="69" t="str">
        <x:f>TEXT(D69,"yyyy-mm")</x:f>
        <x:v>2026-12</x:v>
      </x:c>
      <x:c r="C69" s="72" t="str">
        <x:v>P61</x:v>
      </x:c>
      <x:c r="D69" s="90" t="n">
        <x:f>INDEX('Calendário'!$C$9:$C$214,MATCH($C69,'Calendário'!$B$9:$B$214,0))</x:f>
        <x:v>46384.5</x:v>
      </x:c>
      <x:c r="E69" s="69" t="str">
        <x:f>INDEX('Calendário'!$F$9:$F$214,MATCH($C69,'Calendário'!$B$9:$B$214,0))</x:f>
        <x:v>Carrossel</x:v>
      </x:c>
      <x:c r="F69" s="69" t="str">
        <x:f>INDEX('Calendário'!$G$9:$G$214,MATCH($C69,'Calendário'!$B$9:$B$214,0))</x:f>
        <x:v>A próxima pessoa recebeu o contexto
necessário?</x:v>
      </x:c>
      <x:c r="G69" s="78" t="str">
        <x:f>IF(INDEX('Calendário'!$P$9:$P$214,MATCH($C69,'Calendário'!$B$9:$B$214,0))="","",INDEX('Calendário'!$P$9:$P$214,MATCH($C69,'Calendário'!$B$9:$B$214,0)))</x:f>
      </x:c>
      <x:c r="H69" s="75" t="str">
        <x:v>Não iniciada</x:v>
      </x:c>
      <x:c r="I69" s="75" t="str">
        <x:v>Não se aplica</x:v>
      </x:c>
      <x:c r="J69" s="75" t="str">
        <x:v>Pendente</x:v>
      </x:c>
      <x:c r="K69" s="75" t="str">
        <x:v>Pendente</x:v>
      </x:c>
      <x:c r="L69" s="87" t="str">
        <x:f>(COUNTIFS('Calendário'!$B$9:$B$214,$C69,'Calendário'!$J$9:$J$214,"Agendado")+COUNTIFS('Calendário'!$B$9:$B$214,$C69,'Calendário'!$K$9:$K$214,"Agendado")+COUNTIFS('Calendário'!$B$9:$B$214,$C69,'Calendário'!$M$9:$M$214,"Agendado")+COUNTIFS('Calendário'!$B$9:$B$214,$C69,'Calendário'!$N$9:$N$214,"Agendado")+COUNTIFS('Calendário'!$B$9:$B$214,$C69,'Calendário'!$O$9:$O$214,"Agendado")+COUNTIFS('Calendário'!$B$9:$B$214,$C69,'Calendário'!$J$9:$J$214,"Publicado")+COUNTIFS('Calendário'!$B$9:$B$214,$C69,'Calendário'!$K$9:$K$214,"Publicado")+COUNTIFS('Calendário'!$B$9:$B$214,$C69,'Calendário'!$M$9:$M$214,"Publicado")+COUNTIFS('Calendário'!$B$9:$B$214,$C69,'Calendário'!$N$9:$N$214,"Publicado")+COUNTIFS('Calendário'!$B$9:$B$214,$C69,'Calendário'!$O$9:$O$214,"Publicado"))&amp;" de "&amp;(5-COUNTIFS('Calendário'!$B$9:$B$214,$C69,'Calendário'!$N$9:$N$214,"Não se aplica")-COUNTIFS('Calendário'!$B$9:$B$214,$C69,'Calendário'!$O$9:$O$214,"Não se aplica"))</x:f>
        <x:v>0 de 3</x:v>
      </x:c>
      <x:c r="M69" s="87" t="str">
        <x:f>(COUNTIFS('Calendário'!$B$9:$B$214,$C69,'Calendário'!$J$9:$J$214,"Publicado")+COUNTIFS('Calendário'!$B$9:$B$214,$C69,'Calendário'!$K$9:$K$214,"Publicado")+COUNTIFS('Calendário'!$B$9:$B$214,$C69,'Calendário'!$M$9:$M$214,"Publicado")+COUNTIFS('Calendário'!$B$9:$B$214,$C69,'Calendário'!$N$9:$N$214,"Publicado")+COUNTIFS('Calendário'!$B$9:$B$214,$C69,'Calendário'!$O$9:$O$214,"Publicado"))&amp;" de "&amp;(5-COUNTIFS('Calendário'!$B$9:$B$214,$C69,'Calendário'!$N$9:$N$214,"Não se aplica")-COUNTIFS('Calendário'!$B$9:$B$214,$C69,'Calendário'!$O$9:$O$214,"Não se aplica"))</x:f>
        <x:v>0 de 3</x:v>
      </x:c>
      <x:c r="N69" s="75"/>
      <x:c r="O69" s="75"/>
      <x:c r="P69" s="61"/>
    </x:row>
    <x:row r="70" ht="57" customHeight="1">
      <x:c r="A70" s="61"/>
      <x:c r="B70" s="69" t="str">
        <x:f>TEXT(D70,"yyyy-mm")</x:f>
        <x:v>2026-12</x:v>
      </x:c>
      <x:c r="C70" s="72" t="str">
        <x:v>P62</x:v>
      </x:c>
      <x:c r="D70" s="90" t="n">
        <x:f>INDEX('Calendário'!$C$9:$C$214,MATCH($C70,'Calendário'!$B$9:$B$214,0))</x:f>
        <x:v>46386.5</x:v>
      </x:c>
      <x:c r="E70" s="69" t="str">
        <x:f>INDEX('Calendário'!$F$9:$F$214,MATCH($C70,'Calendário'!$B$9:$B$214,0))</x:f>
        <x:v>Reel</x:v>
      </x:c>
      <x:c r="F70" s="69" t="str">
        <x:f>INDEX('Calendário'!$G$9:$G$214,MATCH($C70,'Calendário'!$B$9:$B$214,0))</x:f>
        <x:v>Exemplo prático: pacote de entrega.</x:v>
      </x:c>
      <x:c r="G70" s="78" t="str">
        <x:f>IF(INDEX('Calendário'!$P$9:$P$214,MATCH($C70,'Calendário'!$B$9:$B$214,0))="","",INDEX('Calendário'!$P$9:$P$214,MATCH($C70,'Calendário'!$B$9:$B$214,0)))</x:f>
      </x:c>
      <x:c r="H70" s="75" t="str">
        <x:v>Não iniciada</x:v>
      </x:c>
      <x:c r="I70" s="75" t="str">
        <x:v>Não iniciado</x:v>
      </x:c>
      <x:c r="J70" s="75" t="str">
        <x:v>Pendente</x:v>
      </x:c>
      <x:c r="K70" s="75" t="str">
        <x:v>Pendente</x:v>
      </x:c>
      <x:c r="L70" s="87" t="str">
        <x:f>(COUNTIFS('Calendário'!$B$9:$B$214,$C70,'Calendário'!$J$9:$J$214,"Agendado")+COUNTIFS('Calendário'!$B$9:$B$214,$C70,'Calendário'!$K$9:$K$214,"Agendado")+COUNTIFS('Calendário'!$B$9:$B$214,$C70,'Calendário'!$M$9:$M$214,"Agendado")+COUNTIFS('Calendário'!$B$9:$B$214,$C70,'Calendário'!$N$9:$N$214,"Agendado")+COUNTIFS('Calendário'!$B$9:$B$214,$C70,'Calendário'!$O$9:$O$214,"Agendado")+COUNTIFS('Calendário'!$B$9:$B$214,$C70,'Calendário'!$J$9:$J$214,"Publicado")+COUNTIFS('Calendário'!$B$9:$B$214,$C70,'Calendário'!$K$9:$K$214,"Publicado")+COUNTIFS('Calendário'!$B$9:$B$214,$C70,'Calendário'!$M$9:$M$214,"Publicado")+COUNTIFS('Calendário'!$B$9:$B$214,$C70,'Calendário'!$N$9:$N$214,"Publicado")+COUNTIFS('Calendário'!$B$9:$B$214,$C70,'Calendário'!$O$9:$O$214,"Publicado"))&amp;" de "&amp;(5-COUNTIFS('Calendário'!$B$9:$B$214,$C70,'Calendário'!$N$9:$N$214,"Não se aplica")-COUNTIFS('Calendário'!$B$9:$B$214,$C70,'Calendário'!$O$9:$O$214,"Não se aplica"))</x:f>
        <x:v>0 de 5</x:v>
      </x:c>
      <x:c r="M70" s="87" t="str">
        <x:f>(COUNTIFS('Calendário'!$B$9:$B$214,$C70,'Calendário'!$J$9:$J$214,"Publicado")+COUNTIFS('Calendário'!$B$9:$B$214,$C70,'Calendário'!$K$9:$K$214,"Publicado")+COUNTIFS('Calendário'!$B$9:$B$214,$C70,'Calendário'!$M$9:$M$214,"Publicado")+COUNTIFS('Calendário'!$B$9:$B$214,$C70,'Calendário'!$N$9:$N$214,"Publicado")+COUNTIFS('Calendário'!$B$9:$B$214,$C70,'Calendário'!$O$9:$O$214,"Publicado"))&amp;" de "&amp;(5-COUNTIFS('Calendário'!$B$9:$B$214,$C70,'Calendário'!$N$9:$N$214,"Não se aplica")-COUNTIFS('Calendário'!$B$9:$B$214,$C70,'Calendário'!$O$9:$O$214,"Não se aplica"))</x:f>
        <x:v>0 de 5</x:v>
      </x:c>
      <x:c r="N70" s="75"/>
      <x:c r="O70" s="75"/>
      <x:c r="P70" s="61"/>
    </x:row>
    <x:row r="71" ht="57" customHeight="1">
      <x:c r="A71" s="61"/>
      <x:c r="B71" s="69" t="str">
        <x:f>TEXT(D71,"yyyy-mm")</x:f>
        <x:v>2027-01</x:v>
      </x:c>
      <x:c r="C71" s="72" t="str">
        <x:v>P63</x:v>
      </x:c>
      <x:c r="D71" s="90" t="n">
        <x:f>INDEX('Calendário'!$C$9:$C$214,MATCH($C71,'Calendário'!$B$9:$B$214,0))</x:f>
        <x:v>46388.5</x:v>
      </x:c>
      <x:c r="E71" s="69" t="str">
        <x:f>INDEX('Calendário'!$F$9:$F$214,MATCH($C71,'Calendário'!$B$9:$B$214,0))</x:f>
        <x:v>Carrossel</x:v>
      </x:c>
      <x:c r="F71" s="69" t="str">
        <x:f>INDEX('Calendário'!$G$9:$G$214,MATCH($C71,'Calendário'!$B$9:$B$214,0))</x:f>
        <x:v>Checklist: pacote de entrega.</x:v>
      </x:c>
      <x:c r="G71" s="78" t="str">
        <x:f>IF(INDEX('Calendário'!$P$9:$P$214,MATCH($C71,'Calendário'!$B$9:$B$214,0))="","",INDEX('Calendário'!$P$9:$P$214,MATCH($C71,'Calendário'!$B$9:$B$214,0)))</x:f>
      </x:c>
      <x:c r="H71" s="75" t="str">
        <x:v>Não iniciada</x:v>
      </x:c>
      <x:c r="I71" s="75" t="str">
        <x:v>Não se aplica</x:v>
      </x:c>
      <x:c r="J71" s="75" t="str">
        <x:v>Pendente</x:v>
      </x:c>
      <x:c r="K71" s="75" t="str">
        <x:v>Pendente</x:v>
      </x:c>
      <x:c r="L71" s="87" t="str">
        <x:f>(COUNTIFS('Calendário'!$B$9:$B$214,$C71,'Calendário'!$J$9:$J$214,"Agendado")+COUNTIFS('Calendário'!$B$9:$B$214,$C71,'Calendário'!$K$9:$K$214,"Agendado")+COUNTIFS('Calendário'!$B$9:$B$214,$C71,'Calendário'!$M$9:$M$214,"Agendado")+COUNTIFS('Calendário'!$B$9:$B$214,$C71,'Calendário'!$N$9:$N$214,"Agendado")+COUNTIFS('Calendário'!$B$9:$B$214,$C71,'Calendário'!$O$9:$O$214,"Agendado")+COUNTIFS('Calendário'!$B$9:$B$214,$C71,'Calendário'!$J$9:$J$214,"Publicado")+COUNTIFS('Calendário'!$B$9:$B$214,$C71,'Calendário'!$K$9:$K$214,"Publicado")+COUNTIFS('Calendário'!$B$9:$B$214,$C71,'Calendário'!$M$9:$M$214,"Publicado")+COUNTIFS('Calendário'!$B$9:$B$214,$C71,'Calendário'!$N$9:$N$214,"Publicado")+COUNTIFS('Calendário'!$B$9:$B$214,$C71,'Calendário'!$O$9:$O$214,"Publicado"))&amp;" de "&amp;(5-COUNTIFS('Calendário'!$B$9:$B$214,$C71,'Calendário'!$N$9:$N$214,"Não se aplica")-COUNTIFS('Calendário'!$B$9:$B$214,$C71,'Calendário'!$O$9:$O$214,"Não se aplica"))</x:f>
        <x:v>0 de 3</x:v>
      </x:c>
      <x:c r="M71" s="87" t="str">
        <x:f>(COUNTIFS('Calendário'!$B$9:$B$214,$C71,'Calendário'!$J$9:$J$214,"Publicado")+COUNTIFS('Calendário'!$B$9:$B$214,$C71,'Calendário'!$K$9:$K$214,"Publicado")+COUNTIFS('Calendário'!$B$9:$B$214,$C71,'Calendário'!$M$9:$M$214,"Publicado")+COUNTIFS('Calendário'!$B$9:$B$214,$C71,'Calendário'!$N$9:$N$214,"Publicado")+COUNTIFS('Calendário'!$B$9:$B$214,$C71,'Calendário'!$O$9:$O$214,"Publicado"))&amp;" de "&amp;(5-COUNTIFS('Calendário'!$B$9:$B$214,$C71,'Calendário'!$N$9:$N$214,"Não se aplica")-COUNTIFS('Calendário'!$B$9:$B$214,$C71,'Calendário'!$O$9:$O$214,"Não se aplica"))</x:f>
        <x:v>0 de 3</x:v>
      </x:c>
      <x:c r="N71" s="75"/>
      <x:c r="O71" s="75"/>
      <x:c r="P71" s="61"/>
    </x:row>
    <x:row r="72" ht="57" customHeight="1">
      <x:c r="A72" s="61"/>
      <x:c r="B72" s="69" t="str">
        <x:f>TEXT(D72,"yyyy-mm")</x:f>
        <x:v>2027-01</x:v>
      </x:c>
      <x:c r="C72" s="72" t="str">
        <x:v>P64</x:v>
      </x:c>
      <x:c r="D72" s="90" t="n">
        <x:f>INDEX('Calendário'!$C$9:$C$214,MATCH($C72,'Calendário'!$B$9:$B$214,0))</x:f>
        <x:v>46389.5</x:v>
      </x:c>
      <x:c r="E72" s="69" t="str">
        <x:f>INDEX('Calendário'!$F$9:$F$214,MATCH($C72,'Calendário'!$B$9:$B$214,0))</x:f>
        <x:v>Estático</x:v>
      </x:c>
      <x:c r="F72" s="69" t="str">
        <x:f>INDEX('Calendário'!$G$9:$G$214,MATCH($C72,'Calendário'!$B$9:$B$214,0))</x:f>
        <x:v>Converse com a Arxis sobre pacote de
entrega.</x:v>
      </x:c>
      <x:c r="G72" s="78" t="str">
        <x:f>IF(INDEX('Calendário'!$P$9:$P$214,MATCH($C72,'Calendário'!$B$9:$B$214,0))="","",INDEX('Calendário'!$P$9:$P$214,MATCH($C72,'Calendário'!$B$9:$B$214,0)))</x:f>
      </x:c>
      <x:c r="H72" s="75" t="str">
        <x:v>Não iniciada</x:v>
      </x:c>
      <x:c r="I72" s="75" t="str">
        <x:v>Não se aplica</x:v>
      </x:c>
      <x:c r="J72" s="75" t="str">
        <x:v>Pendente</x:v>
      </x:c>
      <x:c r="K72" s="75" t="str">
        <x:v>Pendente</x:v>
      </x:c>
      <x:c r="L72" s="87" t="str">
        <x:f>(COUNTIFS('Calendário'!$B$9:$B$214,$C72,'Calendário'!$J$9:$J$214,"Agendado")+COUNTIFS('Calendário'!$B$9:$B$214,$C72,'Calendário'!$K$9:$K$214,"Agendado")+COUNTIFS('Calendário'!$B$9:$B$214,$C72,'Calendário'!$M$9:$M$214,"Agendado")+COUNTIFS('Calendário'!$B$9:$B$214,$C72,'Calendário'!$N$9:$N$214,"Agendado")+COUNTIFS('Calendário'!$B$9:$B$214,$C72,'Calendário'!$O$9:$O$214,"Agendado")+COUNTIFS('Calendário'!$B$9:$B$214,$C72,'Calendário'!$J$9:$J$214,"Publicado")+COUNTIFS('Calendário'!$B$9:$B$214,$C72,'Calendário'!$K$9:$K$214,"Publicado")+COUNTIFS('Calendário'!$B$9:$B$214,$C72,'Calendário'!$M$9:$M$214,"Publicado")+COUNTIFS('Calendário'!$B$9:$B$214,$C72,'Calendário'!$N$9:$N$214,"Publicado")+COUNTIFS('Calendário'!$B$9:$B$214,$C72,'Calendário'!$O$9:$O$214,"Publicado"))&amp;" de "&amp;(5-COUNTIFS('Calendário'!$B$9:$B$214,$C72,'Calendário'!$N$9:$N$214,"Não se aplica")-COUNTIFS('Calendário'!$B$9:$B$214,$C72,'Calendário'!$O$9:$O$214,"Não se aplica"))</x:f>
        <x:v>0 de 3</x:v>
      </x:c>
      <x:c r="M72" s="87" t="str">
        <x:f>(COUNTIFS('Calendário'!$B$9:$B$214,$C72,'Calendário'!$J$9:$J$214,"Publicado")+COUNTIFS('Calendário'!$B$9:$B$214,$C72,'Calendário'!$K$9:$K$214,"Publicado")+COUNTIFS('Calendário'!$B$9:$B$214,$C72,'Calendário'!$M$9:$M$214,"Publicado")+COUNTIFS('Calendário'!$B$9:$B$214,$C72,'Calendário'!$N$9:$N$214,"Publicado")+COUNTIFS('Calendário'!$B$9:$B$214,$C72,'Calendário'!$O$9:$O$214,"Publicado"))&amp;" de "&amp;(5-COUNTIFS('Calendário'!$B$9:$B$214,$C72,'Calendário'!$N$9:$N$214,"Não se aplica")-COUNTIFS('Calendário'!$B$9:$B$214,$C72,'Calendário'!$O$9:$O$214,"Não se aplica"))</x:f>
        <x:v>0 de 3</x:v>
      </x:c>
      <x:c r="N72" s="75"/>
      <x:c r="O72" s="75"/>
      <x:c r="P72" s="61"/>
    </x:row>
    <x:row r="73" ht="57" customHeight="1">
      <x:c r="A73" s="61"/>
      <x:c r="B73" s="69" t="str">
        <x:f>TEXT(D73,"yyyy-mm")</x:f>
        <x:v>2027-01</x:v>
      </x:c>
      <x:c r="C73" s="72" t="str">
        <x:v>P65</x:v>
      </x:c>
      <x:c r="D73" s="90" t="n">
        <x:f>INDEX('Calendário'!$C$9:$C$214,MATCH($C73,'Calendário'!$B$9:$B$214,0))</x:f>
        <x:v>46391.5</x:v>
      </x:c>
      <x:c r="E73" s="69" t="str">
        <x:f>INDEX('Calendário'!$F$9:$F$214,MATCH($C73,'Calendário'!$B$9:$B$214,0))</x:f>
        <x:v>Carrossel</x:v>
      </x:c>
      <x:c r="F73" s="69" t="str">
        <x:f>INDEX('Calendário'!$G$9:$G$214,MATCH($C73,'Calendário'!$B$9:$B$214,0))</x:f>
        <x:v>O que torna uma alternativa adequada?</x:v>
      </x:c>
      <x:c r="G73" s="78" t="str">
        <x:f>IF(INDEX('Calendário'!$P$9:$P$214,MATCH($C73,'Calendário'!$B$9:$B$214,0))="","",INDEX('Calendário'!$P$9:$P$214,MATCH($C73,'Calendário'!$B$9:$B$214,0)))</x:f>
      </x:c>
      <x:c r="H73" s="75" t="str">
        <x:v>Não iniciada</x:v>
      </x:c>
      <x:c r="I73" s="75" t="str">
        <x:v>Não se aplica</x:v>
      </x:c>
      <x:c r="J73" s="75" t="str">
        <x:v>Pendente</x:v>
      </x:c>
      <x:c r="K73" s="75" t="str">
        <x:v>Pendente</x:v>
      </x:c>
      <x:c r="L73" s="87" t="str">
        <x:f>(COUNTIFS('Calendário'!$B$9:$B$214,$C73,'Calendário'!$J$9:$J$214,"Agendado")+COUNTIFS('Calendário'!$B$9:$B$214,$C73,'Calendário'!$K$9:$K$214,"Agendado")+COUNTIFS('Calendário'!$B$9:$B$214,$C73,'Calendário'!$M$9:$M$214,"Agendado")+COUNTIFS('Calendário'!$B$9:$B$214,$C73,'Calendário'!$N$9:$N$214,"Agendado")+COUNTIFS('Calendário'!$B$9:$B$214,$C73,'Calendário'!$O$9:$O$214,"Agendado")+COUNTIFS('Calendário'!$B$9:$B$214,$C73,'Calendário'!$J$9:$J$214,"Publicado")+COUNTIFS('Calendário'!$B$9:$B$214,$C73,'Calendário'!$K$9:$K$214,"Publicado")+COUNTIFS('Calendário'!$B$9:$B$214,$C73,'Calendário'!$M$9:$M$214,"Publicado")+COUNTIFS('Calendário'!$B$9:$B$214,$C73,'Calendário'!$N$9:$N$214,"Publicado")+COUNTIFS('Calendário'!$B$9:$B$214,$C73,'Calendário'!$O$9:$O$214,"Publicado"))&amp;" de "&amp;(5-COUNTIFS('Calendário'!$B$9:$B$214,$C73,'Calendário'!$N$9:$N$214,"Não se aplica")-COUNTIFS('Calendário'!$B$9:$B$214,$C73,'Calendário'!$O$9:$O$214,"Não se aplica"))</x:f>
        <x:v>0 de 3</x:v>
      </x:c>
      <x:c r="M73" s="87" t="str">
        <x:f>(COUNTIFS('Calendário'!$B$9:$B$214,$C73,'Calendário'!$J$9:$J$214,"Publicado")+COUNTIFS('Calendário'!$B$9:$B$214,$C73,'Calendário'!$K$9:$K$214,"Publicado")+COUNTIFS('Calendário'!$B$9:$B$214,$C73,'Calendário'!$M$9:$M$214,"Publicado")+COUNTIFS('Calendário'!$B$9:$B$214,$C73,'Calendário'!$N$9:$N$214,"Publicado")+COUNTIFS('Calendário'!$B$9:$B$214,$C73,'Calendário'!$O$9:$O$214,"Publicado"))&amp;" de "&amp;(5-COUNTIFS('Calendário'!$B$9:$B$214,$C73,'Calendário'!$N$9:$N$214,"Não se aplica")-COUNTIFS('Calendário'!$B$9:$B$214,$C73,'Calendário'!$O$9:$O$214,"Não se aplica"))</x:f>
        <x:v>0 de 3</x:v>
      </x:c>
      <x:c r="N73" s="75"/>
      <x:c r="O73" s="75"/>
      <x:c r="P73" s="61"/>
    </x:row>
    <x:row r="74" ht="57" customHeight="1">
      <x:c r="A74" s="61"/>
      <x:c r="B74" s="69" t="str">
        <x:f>TEXT(D74,"yyyy-mm")</x:f>
        <x:v>2027-01</x:v>
      </x:c>
      <x:c r="C74" s="72" t="str">
        <x:v>P66</x:v>
      </x:c>
      <x:c r="D74" s="90" t="n">
        <x:f>INDEX('Calendário'!$C$9:$C$214,MATCH($C74,'Calendário'!$B$9:$B$214,0))</x:f>
        <x:v>46393.5</x:v>
      </x:c>
      <x:c r="E74" s="69" t="str">
        <x:f>INDEX('Calendário'!$F$9:$F$214,MATCH($C74,'Calendário'!$B$9:$B$214,0))</x:f>
        <x:v>Reel</x:v>
      </x:c>
      <x:c r="F74" s="69" t="str">
        <x:f>INDEX('Calendário'!$G$9:$G$214,MATCH($C74,'Calendário'!$B$9:$B$214,0))</x:f>
        <x:v>Exemplo prático: critérios de
alternativas.</x:v>
      </x:c>
      <x:c r="G74" s="78" t="str">
        <x:f>IF(INDEX('Calendário'!$P$9:$P$214,MATCH($C74,'Calendário'!$B$9:$B$214,0))="","",INDEX('Calendário'!$P$9:$P$214,MATCH($C74,'Calendário'!$B$9:$B$214,0)))</x:f>
      </x:c>
      <x:c r="H74" s="75" t="str">
        <x:v>Não iniciada</x:v>
      </x:c>
      <x:c r="I74" s="75" t="str">
        <x:v>Não iniciado</x:v>
      </x:c>
      <x:c r="J74" s="75" t="str">
        <x:v>Pendente</x:v>
      </x:c>
      <x:c r="K74" s="75" t="str">
        <x:v>Pendente</x:v>
      </x:c>
      <x:c r="L74" s="87" t="str">
        <x:f>(COUNTIFS('Calendário'!$B$9:$B$214,$C74,'Calendário'!$J$9:$J$214,"Agendado")+COUNTIFS('Calendário'!$B$9:$B$214,$C74,'Calendário'!$K$9:$K$214,"Agendado")+COUNTIFS('Calendário'!$B$9:$B$214,$C74,'Calendário'!$M$9:$M$214,"Agendado")+COUNTIFS('Calendário'!$B$9:$B$214,$C74,'Calendário'!$N$9:$N$214,"Agendado")+COUNTIFS('Calendário'!$B$9:$B$214,$C74,'Calendário'!$O$9:$O$214,"Agendado")+COUNTIFS('Calendário'!$B$9:$B$214,$C74,'Calendário'!$J$9:$J$214,"Publicado")+COUNTIFS('Calendário'!$B$9:$B$214,$C74,'Calendário'!$K$9:$K$214,"Publicado")+COUNTIFS('Calendário'!$B$9:$B$214,$C74,'Calendário'!$M$9:$M$214,"Publicado")+COUNTIFS('Calendário'!$B$9:$B$214,$C74,'Calendário'!$N$9:$N$214,"Publicado")+COUNTIFS('Calendário'!$B$9:$B$214,$C74,'Calendário'!$O$9:$O$214,"Publicado"))&amp;" de "&amp;(5-COUNTIFS('Calendário'!$B$9:$B$214,$C74,'Calendário'!$N$9:$N$214,"Não se aplica")-COUNTIFS('Calendário'!$B$9:$B$214,$C74,'Calendário'!$O$9:$O$214,"Não se aplica"))</x:f>
        <x:v>0 de 5</x:v>
      </x:c>
      <x:c r="M74" s="87" t="str">
        <x:f>(COUNTIFS('Calendário'!$B$9:$B$214,$C74,'Calendário'!$J$9:$J$214,"Publicado")+COUNTIFS('Calendário'!$B$9:$B$214,$C74,'Calendário'!$K$9:$K$214,"Publicado")+COUNTIFS('Calendário'!$B$9:$B$214,$C74,'Calendário'!$M$9:$M$214,"Publicado")+COUNTIFS('Calendário'!$B$9:$B$214,$C74,'Calendário'!$N$9:$N$214,"Publicado")+COUNTIFS('Calendário'!$B$9:$B$214,$C74,'Calendário'!$O$9:$O$214,"Publicado"))&amp;" de "&amp;(5-COUNTIFS('Calendário'!$B$9:$B$214,$C74,'Calendário'!$N$9:$N$214,"Não se aplica")-COUNTIFS('Calendário'!$B$9:$B$214,$C74,'Calendário'!$O$9:$O$214,"Não se aplica"))</x:f>
        <x:v>0 de 5</x:v>
      </x:c>
      <x:c r="N74" s="75"/>
      <x:c r="O74" s="75"/>
      <x:c r="P74" s="61"/>
    </x:row>
    <x:row r="75" ht="57" customHeight="1">
      <x:c r="A75" s="61"/>
      <x:c r="B75" s="69" t="str">
        <x:f>TEXT(D75,"yyyy-mm")</x:f>
        <x:v>2027-01</x:v>
      </x:c>
      <x:c r="C75" s="72" t="str">
        <x:v>P67</x:v>
      </x:c>
      <x:c r="D75" s="90" t="n">
        <x:f>INDEX('Calendário'!$C$9:$C$214,MATCH($C75,'Calendário'!$B$9:$B$214,0))</x:f>
        <x:v>46395.5</x:v>
      </x:c>
      <x:c r="E75" s="69" t="str">
        <x:f>INDEX('Calendário'!$F$9:$F$214,MATCH($C75,'Calendário'!$B$9:$B$214,0))</x:f>
        <x:v>Carrossel</x:v>
      </x:c>
      <x:c r="F75" s="69" t="str">
        <x:f>INDEX('Calendário'!$G$9:$G$214,MATCH($C75,'Calendário'!$B$9:$B$214,0))</x:f>
        <x:v>Checklist: critérios de alternativas.</x:v>
      </x:c>
      <x:c r="G75" s="78" t="str">
        <x:f>IF(INDEX('Calendário'!$P$9:$P$214,MATCH($C75,'Calendário'!$B$9:$B$214,0))="","",INDEX('Calendário'!$P$9:$P$214,MATCH($C75,'Calendário'!$B$9:$B$214,0)))</x:f>
      </x:c>
      <x:c r="H75" s="75" t="str">
        <x:v>Não iniciada</x:v>
      </x:c>
      <x:c r="I75" s="75" t="str">
        <x:v>Não se aplica</x:v>
      </x:c>
      <x:c r="J75" s="75" t="str">
        <x:v>Pendente</x:v>
      </x:c>
      <x:c r="K75" s="75" t="str">
        <x:v>Pendente</x:v>
      </x:c>
      <x:c r="L75" s="87" t="str">
        <x:f>(COUNTIFS('Calendário'!$B$9:$B$214,$C75,'Calendário'!$J$9:$J$214,"Agendado")+COUNTIFS('Calendário'!$B$9:$B$214,$C75,'Calendário'!$K$9:$K$214,"Agendado")+COUNTIFS('Calendário'!$B$9:$B$214,$C75,'Calendário'!$M$9:$M$214,"Agendado")+COUNTIFS('Calendário'!$B$9:$B$214,$C75,'Calendário'!$N$9:$N$214,"Agendado")+COUNTIFS('Calendário'!$B$9:$B$214,$C75,'Calendário'!$O$9:$O$214,"Agendado")+COUNTIFS('Calendário'!$B$9:$B$214,$C75,'Calendário'!$J$9:$J$214,"Publicado")+COUNTIFS('Calendário'!$B$9:$B$214,$C75,'Calendário'!$K$9:$K$214,"Publicado")+COUNTIFS('Calendário'!$B$9:$B$214,$C75,'Calendário'!$M$9:$M$214,"Publicado")+COUNTIFS('Calendário'!$B$9:$B$214,$C75,'Calendário'!$N$9:$N$214,"Publicado")+COUNTIFS('Calendário'!$B$9:$B$214,$C75,'Calendário'!$O$9:$O$214,"Publicado"))&amp;" de "&amp;(5-COUNTIFS('Calendário'!$B$9:$B$214,$C75,'Calendário'!$N$9:$N$214,"Não se aplica")-COUNTIFS('Calendário'!$B$9:$B$214,$C75,'Calendário'!$O$9:$O$214,"Não se aplica"))</x:f>
        <x:v>0 de 3</x:v>
      </x:c>
      <x:c r="M75" s="87" t="str">
        <x:f>(COUNTIFS('Calendário'!$B$9:$B$214,$C75,'Calendário'!$J$9:$J$214,"Publicado")+COUNTIFS('Calendário'!$B$9:$B$214,$C75,'Calendário'!$K$9:$K$214,"Publicado")+COUNTIFS('Calendário'!$B$9:$B$214,$C75,'Calendário'!$M$9:$M$214,"Publicado")+COUNTIFS('Calendário'!$B$9:$B$214,$C75,'Calendário'!$N$9:$N$214,"Publicado")+COUNTIFS('Calendário'!$B$9:$B$214,$C75,'Calendário'!$O$9:$O$214,"Publicado"))&amp;" de "&amp;(5-COUNTIFS('Calendário'!$B$9:$B$214,$C75,'Calendário'!$N$9:$N$214,"Não se aplica")-COUNTIFS('Calendário'!$B$9:$B$214,$C75,'Calendário'!$O$9:$O$214,"Não se aplica"))</x:f>
        <x:v>0 de 3</x:v>
      </x:c>
      <x:c r="N75" s="75"/>
      <x:c r="O75" s="75"/>
      <x:c r="P75" s="61"/>
    </x:row>
    <x:row r="76" ht="57" customHeight="1">
      <x:c r="A76" s="61"/>
      <x:c r="B76" s="69" t="str">
        <x:f>TEXT(D76,"yyyy-mm")</x:f>
        <x:v>2027-01</x:v>
      </x:c>
      <x:c r="C76" s="72" t="str">
        <x:v>P68</x:v>
      </x:c>
      <x:c r="D76" s="90" t="n">
        <x:f>INDEX('Calendário'!$C$9:$C$214,MATCH($C76,'Calendário'!$B$9:$B$214,0))</x:f>
        <x:v>46396.5</x:v>
      </x:c>
      <x:c r="E76" s="69" t="str">
        <x:f>INDEX('Calendário'!$F$9:$F$214,MATCH($C76,'Calendário'!$B$9:$B$214,0))</x:f>
        <x:v>Estático</x:v>
      </x:c>
      <x:c r="F76" s="69" t="str">
        <x:f>INDEX('Calendário'!$G$9:$G$214,MATCH($C76,'Calendário'!$B$9:$B$214,0))</x:f>
        <x:v>Qual critério costuma decidir entre duas
alternativas?</x:v>
      </x:c>
      <x:c r="G76" s="78" t="str">
        <x:f>IF(INDEX('Calendário'!$P$9:$P$214,MATCH($C76,'Calendário'!$B$9:$B$214,0))="","",INDEX('Calendário'!$P$9:$P$214,MATCH($C76,'Calendário'!$B$9:$B$214,0)))</x:f>
      </x:c>
      <x:c r="H76" s="75" t="str">
        <x:v>Não iniciada</x:v>
      </x:c>
      <x:c r="I76" s="75" t="str">
        <x:v>Não se aplica</x:v>
      </x:c>
      <x:c r="J76" s="75" t="str">
        <x:v>Pendente</x:v>
      </x:c>
      <x:c r="K76" s="75" t="str">
        <x:v>Pendente</x:v>
      </x:c>
      <x:c r="L76" s="87" t="str">
        <x:f>(COUNTIFS('Calendário'!$B$9:$B$214,$C76,'Calendário'!$J$9:$J$214,"Agendado")+COUNTIFS('Calendário'!$B$9:$B$214,$C76,'Calendário'!$K$9:$K$214,"Agendado")+COUNTIFS('Calendário'!$B$9:$B$214,$C76,'Calendário'!$M$9:$M$214,"Agendado")+COUNTIFS('Calendário'!$B$9:$B$214,$C76,'Calendário'!$N$9:$N$214,"Agendado")+COUNTIFS('Calendário'!$B$9:$B$214,$C76,'Calendário'!$O$9:$O$214,"Agendado")+COUNTIFS('Calendário'!$B$9:$B$214,$C76,'Calendário'!$J$9:$J$214,"Publicado")+COUNTIFS('Calendário'!$B$9:$B$214,$C76,'Calendário'!$K$9:$K$214,"Publicado")+COUNTIFS('Calendário'!$B$9:$B$214,$C76,'Calendário'!$M$9:$M$214,"Publicado")+COUNTIFS('Calendário'!$B$9:$B$214,$C76,'Calendário'!$N$9:$N$214,"Publicado")+COUNTIFS('Calendário'!$B$9:$B$214,$C76,'Calendário'!$O$9:$O$214,"Publicado"))&amp;" de "&amp;(5-COUNTIFS('Calendário'!$B$9:$B$214,$C76,'Calendário'!$N$9:$N$214,"Não se aplica")-COUNTIFS('Calendário'!$B$9:$B$214,$C76,'Calendário'!$O$9:$O$214,"Não se aplica"))</x:f>
        <x:v>0 de 3</x:v>
      </x:c>
      <x:c r="M76" s="87" t="str">
        <x:f>(COUNTIFS('Calendário'!$B$9:$B$214,$C76,'Calendário'!$J$9:$J$214,"Publicado")+COUNTIFS('Calendário'!$B$9:$B$214,$C76,'Calendário'!$K$9:$K$214,"Publicado")+COUNTIFS('Calendário'!$B$9:$B$214,$C76,'Calendário'!$M$9:$M$214,"Publicado")+COUNTIFS('Calendário'!$B$9:$B$214,$C76,'Calendário'!$N$9:$N$214,"Publicado")+COUNTIFS('Calendário'!$B$9:$B$214,$C76,'Calendário'!$O$9:$O$214,"Publicado"))&amp;" de "&amp;(5-COUNTIFS('Calendário'!$B$9:$B$214,$C76,'Calendário'!$N$9:$N$214,"Não se aplica")-COUNTIFS('Calendário'!$B$9:$B$214,$C76,'Calendário'!$O$9:$O$214,"Não se aplica"))</x:f>
        <x:v>0 de 3</x:v>
      </x:c>
      <x:c r="N76" s="75"/>
      <x:c r="O76" s="75"/>
      <x:c r="P76" s="61"/>
    </x:row>
    <x:row r="77" ht="57" customHeight="1">
      <x:c r="A77" s="61"/>
      <x:c r="B77" s="69" t="str">
        <x:f>TEXT(D77,"yyyy-mm")</x:f>
        <x:v>2027-01</x:v>
      </x:c>
      <x:c r="C77" s="72" t="str">
        <x:v>P69</x:v>
      </x:c>
      <x:c r="D77" s="90" t="n">
        <x:f>INDEX('Calendário'!$C$9:$C$214,MATCH($C77,'Calendário'!$B$9:$B$214,0))</x:f>
        <x:v>46398.5</x:v>
      </x:c>
      <x:c r="E77" s="69" t="str">
        <x:f>INDEX('Calendário'!$F$9:$F$214,MATCH($C77,'Calendário'!$B$9:$B$214,0))</x:f>
        <x:v>Carrossel</x:v>
      </x:c>
      <x:c r="F77" s="69" t="str">
        <x:f>INDEX('Calendário'!$G$9:$G$214,MATCH($C77,'Calendário'!$B$9:$B$214,0))</x:f>
        <x:v>Quais condições a alternativa precisa
respeitar?</x:v>
      </x:c>
      <x:c r="G77" s="78" t="str">
        <x:f>IF(INDEX('Calendário'!$P$9:$P$214,MATCH($C77,'Calendário'!$B$9:$B$214,0))="","",INDEX('Calendário'!$P$9:$P$214,MATCH($C77,'Calendário'!$B$9:$B$214,0)))</x:f>
      </x:c>
      <x:c r="H77" s="75" t="str">
        <x:v>Não iniciada</x:v>
      </x:c>
      <x:c r="I77" s="75" t="str">
        <x:v>Não se aplica</x:v>
      </x:c>
      <x:c r="J77" s="75" t="str">
        <x:v>Pendente</x:v>
      </x:c>
      <x:c r="K77" s="75" t="str">
        <x:v>Pendente</x:v>
      </x:c>
      <x:c r="L77" s="87" t="str">
        <x:f>(COUNTIFS('Calendário'!$B$9:$B$214,$C77,'Calendário'!$J$9:$J$214,"Agendado")+COUNTIFS('Calendário'!$B$9:$B$214,$C77,'Calendário'!$K$9:$K$214,"Agendado")+COUNTIFS('Calendário'!$B$9:$B$214,$C77,'Calendário'!$M$9:$M$214,"Agendado")+COUNTIFS('Calendário'!$B$9:$B$214,$C77,'Calendário'!$N$9:$N$214,"Agendado")+COUNTIFS('Calendário'!$B$9:$B$214,$C77,'Calendário'!$O$9:$O$214,"Agendado")+COUNTIFS('Calendário'!$B$9:$B$214,$C77,'Calendário'!$J$9:$J$214,"Publicado")+COUNTIFS('Calendário'!$B$9:$B$214,$C77,'Calendário'!$K$9:$K$214,"Publicado")+COUNTIFS('Calendário'!$B$9:$B$214,$C77,'Calendário'!$M$9:$M$214,"Publicado")+COUNTIFS('Calendário'!$B$9:$B$214,$C77,'Calendário'!$N$9:$N$214,"Publicado")+COUNTIFS('Calendário'!$B$9:$B$214,$C77,'Calendário'!$O$9:$O$214,"Publicado"))&amp;" de "&amp;(5-COUNTIFS('Calendário'!$B$9:$B$214,$C77,'Calendário'!$N$9:$N$214,"Não se aplica")-COUNTIFS('Calendário'!$B$9:$B$214,$C77,'Calendário'!$O$9:$O$214,"Não se aplica"))</x:f>
        <x:v>0 de 3</x:v>
      </x:c>
      <x:c r="M77" s="87" t="str">
        <x:f>(COUNTIFS('Calendário'!$B$9:$B$214,$C77,'Calendário'!$J$9:$J$214,"Publicado")+COUNTIFS('Calendário'!$B$9:$B$214,$C77,'Calendário'!$K$9:$K$214,"Publicado")+COUNTIFS('Calendário'!$B$9:$B$214,$C77,'Calendário'!$M$9:$M$214,"Publicado")+COUNTIFS('Calendário'!$B$9:$B$214,$C77,'Calendário'!$N$9:$N$214,"Publicado")+COUNTIFS('Calendário'!$B$9:$B$214,$C77,'Calendário'!$O$9:$O$214,"Publicado"))&amp;" de "&amp;(5-COUNTIFS('Calendário'!$B$9:$B$214,$C77,'Calendário'!$N$9:$N$214,"Não se aplica")-COUNTIFS('Calendário'!$B$9:$B$214,$C77,'Calendário'!$O$9:$O$214,"Não se aplica"))</x:f>
        <x:v>0 de 3</x:v>
      </x:c>
      <x:c r="N77" s="75"/>
      <x:c r="O77" s="75"/>
      <x:c r="P77" s="61"/>
    </x:row>
    <x:row r="78" ht="57" customHeight="1">
      <x:c r="A78" s="61"/>
      <x:c r="B78" s="69" t="str">
        <x:f>TEXT(D78,"yyyy-mm")</x:f>
        <x:v>2027-01</x:v>
      </x:c>
      <x:c r="C78" s="72" t="str">
        <x:v>P70</x:v>
      </x:c>
      <x:c r="D78" s="90" t="n">
        <x:f>INDEX('Calendário'!$C$9:$C$214,MATCH($C78,'Calendário'!$B$9:$B$214,0))</x:f>
        <x:v>46400.5</x:v>
      </x:c>
      <x:c r="E78" s="69" t="str">
        <x:f>INDEX('Calendário'!$F$9:$F$214,MATCH($C78,'Calendário'!$B$9:$B$214,0))</x:f>
        <x:v>Reel</x:v>
      </x:c>
      <x:c r="F78" s="69" t="str">
        <x:f>INDEX('Calendário'!$G$9:$G$214,MATCH($C78,'Calendário'!$B$9:$B$214,0))</x:f>
        <x:v>Exemplo prático: restrições de projeto.</x:v>
      </x:c>
      <x:c r="G78" s="78" t="str">
        <x:f>IF(INDEX('Calendário'!$P$9:$P$214,MATCH($C78,'Calendário'!$B$9:$B$214,0))="","",INDEX('Calendário'!$P$9:$P$214,MATCH($C78,'Calendário'!$B$9:$B$214,0)))</x:f>
      </x:c>
      <x:c r="H78" s="75" t="str">
        <x:v>Não iniciada</x:v>
      </x:c>
      <x:c r="I78" s="75" t="str">
        <x:v>Não iniciado</x:v>
      </x:c>
      <x:c r="J78" s="75" t="str">
        <x:v>Pendente</x:v>
      </x:c>
      <x:c r="K78" s="75" t="str">
        <x:v>Pendente</x:v>
      </x:c>
      <x:c r="L78" s="87" t="str">
        <x:f>(COUNTIFS('Calendário'!$B$9:$B$214,$C78,'Calendário'!$J$9:$J$214,"Agendado")+COUNTIFS('Calendário'!$B$9:$B$214,$C78,'Calendário'!$K$9:$K$214,"Agendado")+COUNTIFS('Calendário'!$B$9:$B$214,$C78,'Calendário'!$M$9:$M$214,"Agendado")+COUNTIFS('Calendário'!$B$9:$B$214,$C78,'Calendário'!$N$9:$N$214,"Agendado")+COUNTIFS('Calendário'!$B$9:$B$214,$C78,'Calendário'!$O$9:$O$214,"Agendado")+COUNTIFS('Calendário'!$B$9:$B$214,$C78,'Calendário'!$J$9:$J$214,"Publicado")+COUNTIFS('Calendário'!$B$9:$B$214,$C78,'Calendário'!$K$9:$K$214,"Publicado")+COUNTIFS('Calendário'!$B$9:$B$214,$C78,'Calendário'!$M$9:$M$214,"Publicado")+COUNTIFS('Calendário'!$B$9:$B$214,$C78,'Calendário'!$N$9:$N$214,"Publicado")+COUNTIFS('Calendário'!$B$9:$B$214,$C78,'Calendário'!$O$9:$O$214,"Publicado"))&amp;" de "&amp;(5-COUNTIFS('Calendário'!$B$9:$B$214,$C78,'Calendário'!$N$9:$N$214,"Não se aplica")-COUNTIFS('Calendário'!$B$9:$B$214,$C78,'Calendário'!$O$9:$O$214,"Não se aplica"))</x:f>
        <x:v>0 de 5</x:v>
      </x:c>
      <x:c r="M78" s="87" t="str">
        <x:f>(COUNTIFS('Calendário'!$B$9:$B$214,$C78,'Calendário'!$J$9:$J$214,"Publicado")+COUNTIFS('Calendário'!$B$9:$B$214,$C78,'Calendário'!$K$9:$K$214,"Publicado")+COUNTIFS('Calendário'!$B$9:$B$214,$C78,'Calendário'!$M$9:$M$214,"Publicado")+COUNTIFS('Calendário'!$B$9:$B$214,$C78,'Calendário'!$N$9:$N$214,"Publicado")+COUNTIFS('Calendário'!$B$9:$B$214,$C78,'Calendário'!$O$9:$O$214,"Publicado"))&amp;" de "&amp;(5-COUNTIFS('Calendário'!$B$9:$B$214,$C78,'Calendário'!$N$9:$N$214,"Não se aplica")-COUNTIFS('Calendário'!$B$9:$B$214,$C78,'Calendário'!$O$9:$O$214,"Não se aplica"))</x:f>
        <x:v>0 de 5</x:v>
      </x:c>
      <x:c r="N78" s="75"/>
      <x:c r="O78" s="75"/>
      <x:c r="P78" s="61"/>
    </x:row>
    <x:row r="79" ht="57" customHeight="1">
      <x:c r="A79" s="61"/>
      <x:c r="B79" s="69" t="str">
        <x:f>TEXT(D79,"yyyy-mm")</x:f>
        <x:v>2027-01</x:v>
      </x:c>
      <x:c r="C79" s="72" t="str">
        <x:v>P71</x:v>
      </x:c>
      <x:c r="D79" s="90" t="n">
        <x:f>INDEX('Calendário'!$C$9:$C$214,MATCH($C79,'Calendário'!$B$9:$B$214,0))</x:f>
        <x:v>46402.5</x:v>
      </x:c>
      <x:c r="E79" s="69" t="str">
        <x:f>INDEX('Calendário'!$F$9:$F$214,MATCH($C79,'Calendário'!$B$9:$B$214,0))</x:f>
        <x:v>Carrossel</x:v>
      </x:c>
      <x:c r="F79" s="69" t="str">
        <x:f>INDEX('Calendário'!$G$9:$G$214,MATCH($C79,'Calendário'!$B$9:$B$214,0))</x:f>
        <x:v>Checklist: restrições de projeto.</x:v>
      </x:c>
      <x:c r="G79" s="78" t="str">
        <x:f>IF(INDEX('Calendário'!$P$9:$P$214,MATCH($C79,'Calendário'!$B$9:$B$214,0))="","",INDEX('Calendário'!$P$9:$P$214,MATCH($C79,'Calendário'!$B$9:$B$214,0)))</x:f>
      </x:c>
      <x:c r="H79" s="75" t="str">
        <x:v>Não iniciada</x:v>
      </x:c>
      <x:c r="I79" s="75" t="str">
        <x:v>Não se aplica</x:v>
      </x:c>
      <x:c r="J79" s="75" t="str">
        <x:v>Pendente</x:v>
      </x:c>
      <x:c r="K79" s="75" t="str">
        <x:v>Pendente</x:v>
      </x:c>
      <x:c r="L79" s="87" t="str">
        <x:f>(COUNTIFS('Calendário'!$B$9:$B$214,$C79,'Calendário'!$J$9:$J$214,"Agendado")+COUNTIFS('Calendário'!$B$9:$B$214,$C79,'Calendário'!$K$9:$K$214,"Agendado")+COUNTIFS('Calendário'!$B$9:$B$214,$C79,'Calendário'!$M$9:$M$214,"Agendado")+COUNTIFS('Calendário'!$B$9:$B$214,$C79,'Calendário'!$N$9:$N$214,"Agendado")+COUNTIFS('Calendário'!$B$9:$B$214,$C79,'Calendário'!$O$9:$O$214,"Agendado")+COUNTIFS('Calendário'!$B$9:$B$214,$C79,'Calendário'!$J$9:$J$214,"Publicado")+COUNTIFS('Calendário'!$B$9:$B$214,$C79,'Calendário'!$K$9:$K$214,"Publicado")+COUNTIFS('Calendário'!$B$9:$B$214,$C79,'Calendário'!$M$9:$M$214,"Publicado")+COUNTIFS('Calendário'!$B$9:$B$214,$C79,'Calendário'!$N$9:$N$214,"Publicado")+COUNTIFS('Calendário'!$B$9:$B$214,$C79,'Calendário'!$O$9:$O$214,"Publicado"))&amp;" de "&amp;(5-COUNTIFS('Calendário'!$B$9:$B$214,$C79,'Calendário'!$N$9:$N$214,"Não se aplica")-COUNTIFS('Calendário'!$B$9:$B$214,$C79,'Calendário'!$O$9:$O$214,"Não se aplica"))</x:f>
        <x:v>0 de 3</x:v>
      </x:c>
      <x:c r="M79" s="87" t="str">
        <x:f>(COUNTIFS('Calendário'!$B$9:$B$214,$C79,'Calendário'!$J$9:$J$214,"Publicado")+COUNTIFS('Calendário'!$B$9:$B$214,$C79,'Calendário'!$K$9:$K$214,"Publicado")+COUNTIFS('Calendário'!$B$9:$B$214,$C79,'Calendário'!$M$9:$M$214,"Publicado")+COUNTIFS('Calendário'!$B$9:$B$214,$C79,'Calendário'!$N$9:$N$214,"Publicado")+COUNTIFS('Calendário'!$B$9:$B$214,$C79,'Calendário'!$O$9:$O$214,"Publicado"))&amp;" de "&amp;(5-COUNTIFS('Calendário'!$B$9:$B$214,$C79,'Calendário'!$N$9:$N$214,"Não se aplica")-COUNTIFS('Calendário'!$B$9:$B$214,$C79,'Calendário'!$O$9:$O$214,"Não se aplica"))</x:f>
        <x:v>0 de 3</x:v>
      </x:c>
      <x:c r="N79" s="75"/>
      <x:c r="O79" s="75"/>
      <x:c r="P79" s="61"/>
    </x:row>
    <x:row r="80" ht="57" customHeight="1">
      <x:c r="A80" s="61"/>
      <x:c r="B80" s="69" t="str">
        <x:f>TEXT(D80,"yyyy-mm")</x:f>
        <x:v>2027-01</x:v>
      </x:c>
      <x:c r="C80" s="72" t="str">
        <x:v>P72</x:v>
      </x:c>
      <x:c r="D80" s="90" t="n">
        <x:f>INDEX('Calendário'!$C$9:$C$214,MATCH($C80,'Calendário'!$B$9:$B$214,0))</x:f>
        <x:v>46403.5</x:v>
      </x:c>
      <x:c r="E80" s="69" t="str">
        <x:f>INDEX('Calendário'!$F$9:$F$214,MATCH($C80,'Calendário'!$B$9:$B$214,0))</x:f>
        <x:v>Estático</x:v>
      </x:c>
      <x:c r="F80" s="69" t="str">
        <x:f>INDEX('Calendário'!$G$9:$G$214,MATCH($C80,'Calendário'!$B$9:$B$214,0))</x:f>
        <x:v>Qual restrição costuma aparecer tarde na
discussão?</x:v>
      </x:c>
      <x:c r="G80" s="78" t="str">
        <x:f>IF(INDEX('Calendário'!$P$9:$P$214,MATCH($C80,'Calendário'!$B$9:$B$214,0))="","",INDEX('Calendário'!$P$9:$P$214,MATCH($C80,'Calendário'!$B$9:$B$214,0)))</x:f>
      </x:c>
      <x:c r="H80" s="75" t="str">
        <x:v>Não iniciada</x:v>
      </x:c>
      <x:c r="I80" s="75" t="str">
        <x:v>Não se aplica</x:v>
      </x:c>
      <x:c r="J80" s="75" t="str">
        <x:v>Pendente</x:v>
      </x:c>
      <x:c r="K80" s="75" t="str">
        <x:v>Pendente</x:v>
      </x:c>
      <x:c r="L80" s="87" t="str">
        <x:f>(COUNTIFS('Calendário'!$B$9:$B$214,$C80,'Calendário'!$J$9:$J$214,"Agendado")+COUNTIFS('Calendário'!$B$9:$B$214,$C80,'Calendário'!$K$9:$K$214,"Agendado")+COUNTIFS('Calendário'!$B$9:$B$214,$C80,'Calendário'!$M$9:$M$214,"Agendado")+COUNTIFS('Calendário'!$B$9:$B$214,$C80,'Calendário'!$N$9:$N$214,"Agendado")+COUNTIFS('Calendário'!$B$9:$B$214,$C80,'Calendário'!$O$9:$O$214,"Agendado")+COUNTIFS('Calendário'!$B$9:$B$214,$C80,'Calendário'!$J$9:$J$214,"Publicado")+COUNTIFS('Calendário'!$B$9:$B$214,$C80,'Calendário'!$K$9:$K$214,"Publicado")+COUNTIFS('Calendário'!$B$9:$B$214,$C80,'Calendário'!$M$9:$M$214,"Publicado")+COUNTIFS('Calendário'!$B$9:$B$214,$C80,'Calendário'!$N$9:$N$214,"Publicado")+COUNTIFS('Calendário'!$B$9:$B$214,$C80,'Calendário'!$O$9:$O$214,"Publicado"))&amp;" de "&amp;(5-COUNTIFS('Calendário'!$B$9:$B$214,$C80,'Calendário'!$N$9:$N$214,"Não se aplica")-COUNTIFS('Calendário'!$B$9:$B$214,$C80,'Calendário'!$O$9:$O$214,"Não se aplica"))</x:f>
        <x:v>0 de 3</x:v>
      </x:c>
      <x:c r="M80" s="87" t="str">
        <x:f>(COUNTIFS('Calendário'!$B$9:$B$214,$C80,'Calendário'!$J$9:$J$214,"Publicado")+COUNTIFS('Calendário'!$B$9:$B$214,$C80,'Calendário'!$K$9:$K$214,"Publicado")+COUNTIFS('Calendário'!$B$9:$B$214,$C80,'Calendário'!$M$9:$M$214,"Publicado")+COUNTIFS('Calendário'!$B$9:$B$214,$C80,'Calendário'!$N$9:$N$214,"Publicado")+COUNTIFS('Calendário'!$B$9:$B$214,$C80,'Calendário'!$O$9:$O$214,"Publicado"))&amp;" de "&amp;(5-COUNTIFS('Calendário'!$B$9:$B$214,$C80,'Calendário'!$N$9:$N$214,"Não se aplica")-COUNTIFS('Calendário'!$B$9:$B$214,$C80,'Calendário'!$O$9:$O$214,"Não se aplica"))</x:f>
        <x:v>0 de 3</x:v>
      </x:c>
      <x:c r="N80" s="75"/>
      <x:c r="O80" s="75"/>
      <x:c r="P80" s="61"/>
    </x:row>
    <x:row r="81" ht="57" customHeight="1">
      <x:c r="A81" s="61"/>
      <x:c r="B81" s="69" t="str">
        <x:f>TEXT(D81,"yyyy-mm")</x:f>
        <x:v>2027-01</x:v>
      </x:c>
      <x:c r="C81" s="72" t="str">
        <x:v>P73</x:v>
      </x:c>
      <x:c r="D81" s="90" t="n">
        <x:f>INDEX('Calendário'!$C$9:$C$214,MATCH($C81,'Calendário'!$B$9:$B$214,0))</x:f>
        <x:v>46405.5</x:v>
      </x:c>
      <x:c r="E81" s="69" t="str">
        <x:f>INDEX('Calendário'!$F$9:$F$214,MATCH($C81,'Calendário'!$B$9:$B$214,0))</x:f>
        <x:v>Carrossel</x:v>
      </x:c>
      <x:c r="F81" s="69" t="str">
        <x:f>INDEX('Calendário'!$G$9:$G$214,MATCH($C81,'Calendário'!$B$9:$B$214,0))</x:f>
        <x:v>A alternativa atende à rotina de quem
usa?</x:v>
      </x:c>
      <x:c r="G81" s="78" t="str">
        <x:f>IF(INDEX('Calendário'!$P$9:$P$214,MATCH($C81,'Calendário'!$B$9:$B$214,0))="","",INDEX('Calendário'!$P$9:$P$214,MATCH($C81,'Calendário'!$B$9:$B$214,0)))</x:f>
      </x:c>
      <x:c r="H81" s="75" t="str">
        <x:v>Não iniciada</x:v>
      </x:c>
      <x:c r="I81" s="75" t="str">
        <x:v>Não se aplica</x:v>
      </x:c>
      <x:c r="J81" s="75" t="str">
        <x:v>Pendente</x:v>
      </x:c>
      <x:c r="K81" s="75" t="str">
        <x:v>Pendente</x:v>
      </x:c>
      <x:c r="L81" s="87" t="str">
        <x:f>(COUNTIFS('Calendário'!$B$9:$B$214,$C81,'Calendário'!$J$9:$J$214,"Agendado")+COUNTIFS('Calendário'!$B$9:$B$214,$C81,'Calendário'!$K$9:$K$214,"Agendado")+COUNTIFS('Calendário'!$B$9:$B$214,$C81,'Calendário'!$M$9:$M$214,"Agendado")+COUNTIFS('Calendário'!$B$9:$B$214,$C81,'Calendário'!$N$9:$N$214,"Agendado")+COUNTIFS('Calendário'!$B$9:$B$214,$C81,'Calendário'!$O$9:$O$214,"Agendado")+COUNTIFS('Calendário'!$B$9:$B$214,$C81,'Calendário'!$J$9:$J$214,"Publicado")+COUNTIFS('Calendário'!$B$9:$B$214,$C81,'Calendário'!$K$9:$K$214,"Publicado")+COUNTIFS('Calendário'!$B$9:$B$214,$C81,'Calendário'!$M$9:$M$214,"Publicado")+COUNTIFS('Calendário'!$B$9:$B$214,$C81,'Calendário'!$N$9:$N$214,"Publicado")+COUNTIFS('Calendário'!$B$9:$B$214,$C81,'Calendário'!$O$9:$O$214,"Publicado"))&amp;" de "&amp;(5-COUNTIFS('Calendário'!$B$9:$B$214,$C81,'Calendário'!$N$9:$N$214,"Não se aplica")-COUNTIFS('Calendário'!$B$9:$B$214,$C81,'Calendário'!$O$9:$O$214,"Não se aplica"))</x:f>
        <x:v>0 de 3</x:v>
      </x:c>
      <x:c r="M81" s="87" t="str">
        <x:f>(COUNTIFS('Calendário'!$B$9:$B$214,$C81,'Calendário'!$J$9:$J$214,"Publicado")+COUNTIFS('Calendário'!$B$9:$B$214,$C81,'Calendário'!$K$9:$K$214,"Publicado")+COUNTIFS('Calendário'!$B$9:$B$214,$C81,'Calendário'!$M$9:$M$214,"Publicado")+COUNTIFS('Calendário'!$B$9:$B$214,$C81,'Calendário'!$N$9:$N$214,"Publicado")+COUNTIFS('Calendário'!$B$9:$B$214,$C81,'Calendário'!$O$9:$O$214,"Publicado"))&amp;" de "&amp;(5-COUNTIFS('Calendário'!$B$9:$B$214,$C81,'Calendário'!$N$9:$N$214,"Não se aplica")-COUNTIFS('Calendário'!$B$9:$B$214,$C81,'Calendário'!$O$9:$O$214,"Não se aplica"))</x:f>
        <x:v>0 de 3</x:v>
      </x:c>
      <x:c r="N81" s="75"/>
      <x:c r="O81" s="75"/>
      <x:c r="P81" s="61"/>
    </x:row>
    <x:row r="82" ht="57" customHeight="1">
      <x:c r="A82" s="61"/>
      <x:c r="B82" s="69" t="str">
        <x:f>TEXT(D82,"yyyy-mm")</x:f>
        <x:v>2027-01</x:v>
      </x:c>
      <x:c r="C82" s="72" t="str">
        <x:v>P74</x:v>
      </x:c>
      <x:c r="D82" s="90" t="n">
        <x:f>INDEX('Calendário'!$C$9:$C$214,MATCH($C82,'Calendário'!$B$9:$B$214,0))</x:f>
        <x:v>46407.5</x:v>
      </x:c>
      <x:c r="E82" s="69" t="str">
        <x:f>INDEX('Calendário'!$F$9:$F$214,MATCH($C82,'Calendário'!$B$9:$B$214,0))</x:f>
        <x:v>Reel</x:v>
      </x:c>
      <x:c r="F82" s="69" t="str">
        <x:f>INDEX('Calendário'!$G$9:$G$214,MATCH($C82,'Calendário'!$B$9:$B$214,0))</x:f>
        <x:v>Exemplo prático: uso dos espaços.</x:v>
      </x:c>
      <x:c r="G82" s="78" t="str">
        <x:f>IF(INDEX('Calendário'!$P$9:$P$214,MATCH($C82,'Calendário'!$B$9:$B$214,0))="","",INDEX('Calendário'!$P$9:$P$214,MATCH($C82,'Calendário'!$B$9:$B$214,0)))</x:f>
      </x:c>
      <x:c r="H82" s="75" t="str">
        <x:v>Não iniciada</x:v>
      </x:c>
      <x:c r="I82" s="75" t="str">
        <x:v>Não iniciado</x:v>
      </x:c>
      <x:c r="J82" s="75" t="str">
        <x:v>Pendente</x:v>
      </x:c>
      <x:c r="K82" s="75" t="str">
        <x:v>Pendente</x:v>
      </x:c>
      <x:c r="L82" s="87" t="str">
        <x:f>(COUNTIFS('Calendário'!$B$9:$B$214,$C82,'Calendário'!$J$9:$J$214,"Agendado")+COUNTIFS('Calendário'!$B$9:$B$214,$C82,'Calendário'!$K$9:$K$214,"Agendado")+COUNTIFS('Calendário'!$B$9:$B$214,$C82,'Calendário'!$M$9:$M$214,"Agendado")+COUNTIFS('Calendário'!$B$9:$B$214,$C82,'Calendário'!$N$9:$N$214,"Agendado")+COUNTIFS('Calendário'!$B$9:$B$214,$C82,'Calendário'!$O$9:$O$214,"Agendado")+COUNTIFS('Calendário'!$B$9:$B$214,$C82,'Calendário'!$J$9:$J$214,"Publicado")+COUNTIFS('Calendário'!$B$9:$B$214,$C82,'Calendário'!$K$9:$K$214,"Publicado")+COUNTIFS('Calendário'!$B$9:$B$214,$C82,'Calendário'!$M$9:$M$214,"Publicado")+COUNTIFS('Calendário'!$B$9:$B$214,$C82,'Calendário'!$N$9:$N$214,"Publicado")+COUNTIFS('Calendário'!$B$9:$B$214,$C82,'Calendário'!$O$9:$O$214,"Publicado"))&amp;" de "&amp;(5-COUNTIFS('Calendário'!$B$9:$B$214,$C82,'Calendário'!$N$9:$N$214,"Não se aplica")-COUNTIFS('Calendário'!$B$9:$B$214,$C82,'Calendário'!$O$9:$O$214,"Não se aplica"))</x:f>
        <x:v>0 de 5</x:v>
      </x:c>
      <x:c r="M82" s="87" t="str">
        <x:f>(COUNTIFS('Calendário'!$B$9:$B$214,$C82,'Calendário'!$J$9:$J$214,"Publicado")+COUNTIFS('Calendário'!$B$9:$B$214,$C82,'Calendário'!$K$9:$K$214,"Publicado")+COUNTIFS('Calendário'!$B$9:$B$214,$C82,'Calendário'!$M$9:$M$214,"Publicado")+COUNTIFS('Calendário'!$B$9:$B$214,$C82,'Calendário'!$N$9:$N$214,"Publicado")+COUNTIFS('Calendário'!$B$9:$B$214,$C82,'Calendário'!$O$9:$O$214,"Publicado"))&amp;" de "&amp;(5-COUNTIFS('Calendário'!$B$9:$B$214,$C82,'Calendário'!$N$9:$N$214,"Não se aplica")-COUNTIFS('Calendário'!$B$9:$B$214,$C82,'Calendário'!$O$9:$O$214,"Não se aplica"))</x:f>
        <x:v>0 de 5</x:v>
      </x:c>
      <x:c r="N82" s="75"/>
      <x:c r="O82" s="75"/>
      <x:c r="P82" s="61"/>
    </x:row>
    <x:row r="83" ht="57" customHeight="1">
      <x:c r="A83" s="61"/>
      <x:c r="B83" s="69" t="str">
        <x:f>TEXT(D83,"yyyy-mm")</x:f>
        <x:v>2027-01</x:v>
      </x:c>
      <x:c r="C83" s="72" t="str">
        <x:v>P75</x:v>
      </x:c>
      <x:c r="D83" s="90" t="n">
        <x:f>INDEX('Calendário'!$C$9:$C$214,MATCH($C83,'Calendário'!$B$9:$B$214,0))</x:f>
        <x:v>46409.5</x:v>
      </x:c>
      <x:c r="E83" s="69" t="str">
        <x:f>INDEX('Calendário'!$F$9:$F$214,MATCH($C83,'Calendário'!$B$9:$B$214,0))</x:f>
        <x:v>Carrossel</x:v>
      </x:c>
      <x:c r="F83" s="69" t="str">
        <x:f>INDEX('Calendário'!$G$9:$G$214,MATCH($C83,'Calendário'!$B$9:$B$214,0))</x:f>
        <x:v>Checklist: uso dos espaços.</x:v>
      </x:c>
      <x:c r="G83" s="78" t="str">
        <x:f>IF(INDEX('Calendário'!$P$9:$P$214,MATCH($C83,'Calendário'!$B$9:$B$214,0))="","",INDEX('Calendário'!$P$9:$P$214,MATCH($C83,'Calendário'!$B$9:$B$214,0)))</x:f>
      </x:c>
      <x:c r="H83" s="75" t="str">
        <x:v>Não iniciada</x:v>
      </x:c>
      <x:c r="I83" s="75" t="str">
        <x:v>Não se aplica</x:v>
      </x:c>
      <x:c r="J83" s="75" t="str">
        <x:v>Pendente</x:v>
      </x:c>
      <x:c r="K83" s="75" t="str">
        <x:v>Pendente</x:v>
      </x:c>
      <x:c r="L83" s="87" t="str">
        <x:f>(COUNTIFS('Calendário'!$B$9:$B$214,$C83,'Calendário'!$J$9:$J$214,"Agendado")+COUNTIFS('Calendário'!$B$9:$B$214,$C83,'Calendário'!$K$9:$K$214,"Agendado")+COUNTIFS('Calendário'!$B$9:$B$214,$C83,'Calendário'!$M$9:$M$214,"Agendado")+COUNTIFS('Calendário'!$B$9:$B$214,$C83,'Calendário'!$N$9:$N$214,"Agendado")+COUNTIFS('Calendário'!$B$9:$B$214,$C83,'Calendário'!$O$9:$O$214,"Agendado")+COUNTIFS('Calendário'!$B$9:$B$214,$C83,'Calendário'!$J$9:$J$214,"Publicado")+COUNTIFS('Calendário'!$B$9:$B$214,$C83,'Calendário'!$K$9:$K$214,"Publicado")+COUNTIFS('Calendário'!$B$9:$B$214,$C83,'Calendário'!$M$9:$M$214,"Publicado")+COUNTIFS('Calendário'!$B$9:$B$214,$C83,'Calendário'!$N$9:$N$214,"Publicado")+COUNTIFS('Calendário'!$B$9:$B$214,$C83,'Calendário'!$O$9:$O$214,"Publicado"))&amp;" de "&amp;(5-COUNTIFS('Calendário'!$B$9:$B$214,$C83,'Calendário'!$N$9:$N$214,"Não se aplica")-COUNTIFS('Calendário'!$B$9:$B$214,$C83,'Calendário'!$O$9:$O$214,"Não se aplica"))</x:f>
        <x:v>0 de 3</x:v>
      </x:c>
      <x:c r="M83" s="87" t="str">
        <x:f>(COUNTIFS('Calendário'!$B$9:$B$214,$C83,'Calendário'!$J$9:$J$214,"Publicado")+COUNTIFS('Calendário'!$B$9:$B$214,$C83,'Calendário'!$K$9:$K$214,"Publicado")+COUNTIFS('Calendário'!$B$9:$B$214,$C83,'Calendário'!$M$9:$M$214,"Publicado")+COUNTIFS('Calendário'!$B$9:$B$214,$C83,'Calendário'!$N$9:$N$214,"Publicado")+COUNTIFS('Calendário'!$B$9:$B$214,$C83,'Calendário'!$O$9:$O$214,"Publicado"))&amp;" de "&amp;(5-COUNTIFS('Calendário'!$B$9:$B$214,$C83,'Calendário'!$N$9:$N$214,"Não se aplica")-COUNTIFS('Calendário'!$B$9:$B$214,$C83,'Calendário'!$O$9:$O$214,"Não se aplica"))</x:f>
        <x:v>0 de 3</x:v>
      </x:c>
      <x:c r="N83" s="75"/>
      <x:c r="O83" s="75"/>
      <x:c r="P83" s="61"/>
    </x:row>
    <x:row r="84" ht="57" customHeight="1">
      <x:c r="A84" s="61"/>
      <x:c r="B84" s="69" t="str">
        <x:f>TEXT(D84,"yyyy-mm")</x:f>
        <x:v>2027-01</x:v>
      </x:c>
      <x:c r="C84" s="72" t="str">
        <x:v>P76</x:v>
      </x:c>
      <x:c r="D84" s="90" t="n">
        <x:f>INDEX('Calendário'!$C$9:$C$214,MATCH($C84,'Calendário'!$B$9:$B$214,0))</x:f>
        <x:v>46410.5</x:v>
      </x:c>
      <x:c r="E84" s="69" t="str">
        <x:f>INDEX('Calendário'!$F$9:$F$214,MATCH($C84,'Calendário'!$B$9:$B$214,0))</x:f>
        <x:v>Estático</x:v>
      </x:c>
      <x:c r="F84" s="69" t="str">
        <x:f>INDEX('Calendário'!$G$9:$G$214,MATCH($C84,'Calendário'!$B$9:$B$214,0))</x:f>
        <x:v>Quem participa da conversa sobre o uso do
ambiente?</x:v>
      </x:c>
      <x:c r="G84" s="78" t="str">
        <x:f>IF(INDEX('Calendário'!$P$9:$P$214,MATCH($C84,'Calendário'!$B$9:$B$214,0))="","",INDEX('Calendário'!$P$9:$P$214,MATCH($C84,'Calendário'!$B$9:$B$214,0)))</x:f>
      </x:c>
      <x:c r="H84" s="75" t="str">
        <x:v>Não iniciada</x:v>
      </x:c>
      <x:c r="I84" s="75" t="str">
        <x:v>Não se aplica</x:v>
      </x:c>
      <x:c r="J84" s="75" t="str">
        <x:v>Pendente</x:v>
      </x:c>
      <x:c r="K84" s="75" t="str">
        <x:v>Pendente</x:v>
      </x:c>
      <x:c r="L84" s="87" t="str">
        <x:f>(COUNTIFS('Calendário'!$B$9:$B$214,$C84,'Calendário'!$J$9:$J$214,"Agendado")+COUNTIFS('Calendário'!$B$9:$B$214,$C84,'Calendário'!$K$9:$K$214,"Agendado")+COUNTIFS('Calendário'!$B$9:$B$214,$C84,'Calendário'!$M$9:$M$214,"Agendado")+COUNTIFS('Calendário'!$B$9:$B$214,$C84,'Calendário'!$N$9:$N$214,"Agendado")+COUNTIFS('Calendário'!$B$9:$B$214,$C84,'Calendário'!$O$9:$O$214,"Agendado")+COUNTIFS('Calendário'!$B$9:$B$214,$C84,'Calendário'!$J$9:$J$214,"Publicado")+COUNTIFS('Calendário'!$B$9:$B$214,$C84,'Calendário'!$K$9:$K$214,"Publicado")+COUNTIFS('Calendário'!$B$9:$B$214,$C84,'Calendário'!$M$9:$M$214,"Publicado")+COUNTIFS('Calendário'!$B$9:$B$214,$C84,'Calendário'!$N$9:$N$214,"Publicado")+COUNTIFS('Calendário'!$B$9:$B$214,$C84,'Calendário'!$O$9:$O$214,"Publicado"))&amp;" de "&amp;(5-COUNTIFS('Calendário'!$B$9:$B$214,$C84,'Calendário'!$N$9:$N$214,"Não se aplica")-COUNTIFS('Calendário'!$B$9:$B$214,$C84,'Calendário'!$O$9:$O$214,"Não se aplica"))</x:f>
        <x:v>0 de 3</x:v>
      </x:c>
      <x:c r="M84" s="87" t="str">
        <x:f>(COUNTIFS('Calendário'!$B$9:$B$214,$C84,'Calendário'!$J$9:$J$214,"Publicado")+COUNTIFS('Calendário'!$B$9:$B$214,$C84,'Calendário'!$K$9:$K$214,"Publicado")+COUNTIFS('Calendário'!$B$9:$B$214,$C84,'Calendário'!$M$9:$M$214,"Publicado")+COUNTIFS('Calendário'!$B$9:$B$214,$C84,'Calendário'!$N$9:$N$214,"Publicado")+COUNTIFS('Calendário'!$B$9:$B$214,$C84,'Calendário'!$O$9:$O$214,"Publicado"))&amp;" de "&amp;(5-COUNTIFS('Calendário'!$B$9:$B$214,$C84,'Calendário'!$N$9:$N$214,"Não se aplica")-COUNTIFS('Calendário'!$B$9:$B$214,$C84,'Calendário'!$O$9:$O$214,"Não se aplica"))</x:f>
        <x:v>0 de 3</x:v>
      </x:c>
      <x:c r="N84" s="75"/>
      <x:c r="O84" s="75"/>
      <x:c r="P84" s="61"/>
    </x:row>
    <x:row r="85" ht="57" customHeight="1">
      <x:c r="A85" s="61"/>
      <x:c r="B85" s="69" t="str">
        <x:f>TEXT(D85,"yyyy-mm")</x:f>
        <x:v>2027-01</x:v>
      </x:c>
      <x:c r="C85" s="72" t="str">
        <x:v>P77</x:v>
      </x:c>
      <x:c r="D85" s="90" t="n">
        <x:f>INDEX('Calendário'!$C$9:$C$214,MATCH($C85,'Calendário'!$B$9:$B$214,0))</x:f>
        <x:v>46412.5</x:v>
      </x:c>
      <x:c r="E85" s="69" t="str">
        <x:f>INDEX('Calendário'!$F$9:$F$214,MATCH($C85,'Calendário'!$B$9:$B$214,0))</x:f>
        <x:v>Carrossel</x:v>
      </x:c>
      <x:c r="F85" s="69" t="str">
        <x:f>INDEX('Calendário'!$G$9:$G$214,MATCH($C85,'Calendário'!$B$9:$B$214,0))</x:f>
        <x:v>O que está sendo assumido nesta opção?</x:v>
      </x:c>
      <x:c r="G85" s="78" t="str">
        <x:f>IF(INDEX('Calendário'!$P$9:$P$214,MATCH($C85,'Calendário'!$B$9:$B$214,0))="","",INDEX('Calendário'!$P$9:$P$214,MATCH($C85,'Calendário'!$B$9:$B$214,0)))</x:f>
      </x:c>
      <x:c r="H85" s="75" t="str">
        <x:v>Não iniciada</x:v>
      </x:c>
      <x:c r="I85" s="75" t="str">
        <x:v>Não se aplica</x:v>
      </x:c>
      <x:c r="J85" s="75" t="str">
        <x:v>Pendente</x:v>
      </x:c>
      <x:c r="K85" s="75" t="str">
        <x:v>Pendente</x:v>
      </x:c>
      <x:c r="L85" s="87" t="str">
        <x:f>(COUNTIFS('Calendário'!$B$9:$B$214,$C85,'Calendário'!$J$9:$J$214,"Agendado")+COUNTIFS('Calendário'!$B$9:$B$214,$C85,'Calendário'!$K$9:$K$214,"Agendado")+COUNTIFS('Calendário'!$B$9:$B$214,$C85,'Calendário'!$M$9:$M$214,"Agendado")+COUNTIFS('Calendário'!$B$9:$B$214,$C85,'Calendário'!$N$9:$N$214,"Agendado")+COUNTIFS('Calendário'!$B$9:$B$214,$C85,'Calendário'!$O$9:$O$214,"Agendado")+COUNTIFS('Calendário'!$B$9:$B$214,$C85,'Calendário'!$J$9:$J$214,"Publicado")+COUNTIFS('Calendário'!$B$9:$B$214,$C85,'Calendário'!$K$9:$K$214,"Publicado")+COUNTIFS('Calendário'!$B$9:$B$214,$C85,'Calendário'!$M$9:$M$214,"Publicado")+COUNTIFS('Calendário'!$B$9:$B$214,$C85,'Calendário'!$N$9:$N$214,"Publicado")+COUNTIFS('Calendário'!$B$9:$B$214,$C85,'Calendário'!$O$9:$O$214,"Publicado"))&amp;" de "&amp;(5-COUNTIFS('Calendário'!$B$9:$B$214,$C85,'Calendário'!$N$9:$N$214,"Não se aplica")-COUNTIFS('Calendário'!$B$9:$B$214,$C85,'Calendário'!$O$9:$O$214,"Não se aplica"))</x:f>
        <x:v>0 de 3</x:v>
      </x:c>
      <x:c r="M85" s="87" t="str">
        <x:f>(COUNTIFS('Calendário'!$B$9:$B$214,$C85,'Calendário'!$J$9:$J$214,"Publicado")+COUNTIFS('Calendário'!$B$9:$B$214,$C85,'Calendário'!$K$9:$K$214,"Publicado")+COUNTIFS('Calendário'!$B$9:$B$214,$C85,'Calendário'!$M$9:$M$214,"Publicado")+COUNTIFS('Calendário'!$B$9:$B$214,$C85,'Calendário'!$N$9:$N$214,"Publicado")+COUNTIFS('Calendário'!$B$9:$B$214,$C85,'Calendário'!$O$9:$O$214,"Publicado"))&amp;" de "&amp;(5-COUNTIFS('Calendário'!$B$9:$B$214,$C85,'Calendário'!$N$9:$N$214,"Não se aplica")-COUNTIFS('Calendário'!$B$9:$B$214,$C85,'Calendário'!$O$9:$O$214,"Não se aplica"))</x:f>
        <x:v>0 de 3</x:v>
      </x:c>
      <x:c r="N85" s="75"/>
      <x:c r="O85" s="75"/>
      <x:c r="P85" s="61"/>
    </x:row>
    <x:row r="86" ht="57" customHeight="1">
      <x:c r="A86" s="61"/>
      <x:c r="B86" s="69" t="str">
        <x:f>TEXT(D86,"yyyy-mm")</x:f>
        <x:v>2027-01</x:v>
      </x:c>
      <x:c r="C86" s="72" t="str">
        <x:v>P78</x:v>
      </x:c>
      <x:c r="D86" s="90" t="n">
        <x:f>INDEX('Calendário'!$C$9:$C$214,MATCH($C86,'Calendário'!$B$9:$B$214,0))</x:f>
        <x:v>46414.5</x:v>
      </x:c>
      <x:c r="E86" s="69" t="str">
        <x:f>INDEX('Calendário'!$F$9:$F$214,MATCH($C86,'Calendário'!$B$9:$B$214,0))</x:f>
        <x:v>Reel</x:v>
      </x:c>
      <x:c r="F86" s="69" t="str">
        <x:f>INDEX('Calendário'!$G$9:$G$214,MATCH($C86,'Calendário'!$B$9:$B$214,0))</x:f>
        <x:v>Exemplo prático: premissas das
alternativas.</x:v>
      </x:c>
      <x:c r="G86" s="78" t="str">
        <x:f>IF(INDEX('Calendário'!$P$9:$P$214,MATCH($C86,'Calendário'!$B$9:$B$214,0))="","",INDEX('Calendário'!$P$9:$P$214,MATCH($C86,'Calendário'!$B$9:$B$214,0)))</x:f>
      </x:c>
      <x:c r="H86" s="75" t="str">
        <x:v>Não iniciada</x:v>
      </x:c>
      <x:c r="I86" s="75" t="str">
        <x:v>Não iniciado</x:v>
      </x:c>
      <x:c r="J86" s="75" t="str">
        <x:v>Pendente</x:v>
      </x:c>
      <x:c r="K86" s="75" t="str">
        <x:v>Pendente</x:v>
      </x:c>
      <x:c r="L86" s="87" t="str">
        <x:f>(COUNTIFS('Calendário'!$B$9:$B$214,$C86,'Calendário'!$J$9:$J$214,"Agendado")+COUNTIFS('Calendário'!$B$9:$B$214,$C86,'Calendário'!$K$9:$K$214,"Agendado")+COUNTIFS('Calendário'!$B$9:$B$214,$C86,'Calendário'!$M$9:$M$214,"Agendado")+COUNTIFS('Calendário'!$B$9:$B$214,$C86,'Calendário'!$N$9:$N$214,"Agendado")+COUNTIFS('Calendário'!$B$9:$B$214,$C86,'Calendário'!$O$9:$O$214,"Agendado")+COUNTIFS('Calendário'!$B$9:$B$214,$C86,'Calendário'!$J$9:$J$214,"Publicado")+COUNTIFS('Calendário'!$B$9:$B$214,$C86,'Calendário'!$K$9:$K$214,"Publicado")+COUNTIFS('Calendário'!$B$9:$B$214,$C86,'Calendário'!$M$9:$M$214,"Publicado")+COUNTIFS('Calendário'!$B$9:$B$214,$C86,'Calendário'!$N$9:$N$214,"Publicado")+COUNTIFS('Calendário'!$B$9:$B$214,$C86,'Calendário'!$O$9:$O$214,"Publicado"))&amp;" de "&amp;(5-COUNTIFS('Calendário'!$B$9:$B$214,$C86,'Calendário'!$N$9:$N$214,"Não se aplica")-COUNTIFS('Calendário'!$B$9:$B$214,$C86,'Calendário'!$O$9:$O$214,"Não se aplica"))</x:f>
        <x:v>0 de 5</x:v>
      </x:c>
      <x:c r="M86" s="87" t="str">
        <x:f>(COUNTIFS('Calendário'!$B$9:$B$214,$C86,'Calendário'!$J$9:$J$214,"Publicado")+COUNTIFS('Calendário'!$B$9:$B$214,$C86,'Calendário'!$K$9:$K$214,"Publicado")+COUNTIFS('Calendário'!$B$9:$B$214,$C86,'Calendário'!$M$9:$M$214,"Publicado")+COUNTIFS('Calendário'!$B$9:$B$214,$C86,'Calendário'!$N$9:$N$214,"Publicado")+COUNTIFS('Calendário'!$B$9:$B$214,$C86,'Calendário'!$O$9:$O$214,"Publicado"))&amp;" de "&amp;(5-COUNTIFS('Calendário'!$B$9:$B$214,$C86,'Calendário'!$N$9:$N$214,"Não se aplica")-COUNTIFS('Calendário'!$B$9:$B$214,$C86,'Calendário'!$O$9:$O$214,"Não se aplica"))</x:f>
        <x:v>0 de 5</x:v>
      </x:c>
      <x:c r="N86" s="75"/>
      <x:c r="O86" s="75"/>
      <x:c r="P86" s="61"/>
    </x:row>
    <x:row r="87" ht="57" customHeight="1">
      <x:c r="A87" s="61"/>
      <x:c r="B87" s="69" t="str">
        <x:f>TEXT(D87,"yyyy-mm")</x:f>
        <x:v>2027-01</x:v>
      </x:c>
      <x:c r="C87" s="72" t="str">
        <x:v>P79</x:v>
      </x:c>
      <x:c r="D87" s="90" t="n">
        <x:f>INDEX('Calendário'!$C$9:$C$214,MATCH($C87,'Calendário'!$B$9:$B$214,0))</x:f>
        <x:v>46416.5</x:v>
      </x:c>
      <x:c r="E87" s="69" t="str">
        <x:f>INDEX('Calendário'!$F$9:$F$214,MATCH($C87,'Calendário'!$B$9:$B$214,0))</x:f>
        <x:v>Carrossel</x:v>
      </x:c>
      <x:c r="F87" s="69" t="str">
        <x:f>INDEX('Calendário'!$G$9:$G$214,MATCH($C87,'Calendário'!$B$9:$B$214,0))</x:f>
        <x:v>Checklist: premissas das alternativas.</x:v>
      </x:c>
      <x:c r="G87" s="78" t="str">
        <x:f>IF(INDEX('Calendário'!$P$9:$P$214,MATCH($C87,'Calendário'!$B$9:$B$214,0))="","",INDEX('Calendário'!$P$9:$P$214,MATCH($C87,'Calendário'!$B$9:$B$214,0)))</x:f>
      </x:c>
      <x:c r="H87" s="75" t="str">
        <x:v>Não iniciada</x:v>
      </x:c>
      <x:c r="I87" s="75" t="str">
        <x:v>Não se aplica</x:v>
      </x:c>
      <x:c r="J87" s="75" t="str">
        <x:v>Pendente</x:v>
      </x:c>
      <x:c r="K87" s="75" t="str">
        <x:v>Pendente</x:v>
      </x:c>
      <x:c r="L87" s="87" t="str">
        <x:f>(COUNTIFS('Calendário'!$B$9:$B$214,$C87,'Calendário'!$J$9:$J$214,"Agendado")+COUNTIFS('Calendário'!$B$9:$B$214,$C87,'Calendário'!$K$9:$K$214,"Agendado")+COUNTIFS('Calendário'!$B$9:$B$214,$C87,'Calendário'!$M$9:$M$214,"Agendado")+COUNTIFS('Calendário'!$B$9:$B$214,$C87,'Calendário'!$N$9:$N$214,"Agendado")+COUNTIFS('Calendário'!$B$9:$B$214,$C87,'Calendário'!$O$9:$O$214,"Agendado")+COUNTIFS('Calendário'!$B$9:$B$214,$C87,'Calendário'!$J$9:$J$214,"Publicado")+COUNTIFS('Calendário'!$B$9:$B$214,$C87,'Calendário'!$K$9:$K$214,"Publicado")+COUNTIFS('Calendário'!$B$9:$B$214,$C87,'Calendário'!$M$9:$M$214,"Publicado")+COUNTIFS('Calendário'!$B$9:$B$214,$C87,'Calendário'!$N$9:$N$214,"Publicado")+COUNTIFS('Calendário'!$B$9:$B$214,$C87,'Calendário'!$O$9:$O$214,"Publicado"))&amp;" de "&amp;(5-COUNTIFS('Calendário'!$B$9:$B$214,$C87,'Calendário'!$N$9:$N$214,"Não se aplica")-COUNTIFS('Calendário'!$B$9:$B$214,$C87,'Calendário'!$O$9:$O$214,"Não se aplica"))</x:f>
        <x:v>0 de 3</x:v>
      </x:c>
      <x:c r="M87" s="87" t="str">
        <x:f>(COUNTIFS('Calendário'!$B$9:$B$214,$C87,'Calendário'!$J$9:$J$214,"Publicado")+COUNTIFS('Calendário'!$B$9:$B$214,$C87,'Calendário'!$K$9:$K$214,"Publicado")+COUNTIFS('Calendário'!$B$9:$B$214,$C87,'Calendário'!$M$9:$M$214,"Publicado")+COUNTIFS('Calendário'!$B$9:$B$214,$C87,'Calendário'!$N$9:$N$214,"Publicado")+COUNTIFS('Calendário'!$B$9:$B$214,$C87,'Calendário'!$O$9:$O$214,"Publicado"))&amp;" de "&amp;(5-COUNTIFS('Calendário'!$B$9:$B$214,$C87,'Calendário'!$N$9:$N$214,"Não se aplica")-COUNTIFS('Calendário'!$B$9:$B$214,$C87,'Calendário'!$O$9:$O$214,"Não se aplica"))</x:f>
        <x:v>0 de 3</x:v>
      </x:c>
      <x:c r="N87" s="75"/>
      <x:c r="O87" s="75"/>
      <x:c r="P87" s="61"/>
    </x:row>
    <x:row r="88" ht="57" customHeight="1">
      <x:c r="A88" s="61"/>
      <x:c r="B88" s="69" t="str">
        <x:f>TEXT(D88,"yyyy-mm")</x:f>
        <x:v>2027-01</x:v>
      </x:c>
      <x:c r="C88" s="72" t="str">
        <x:v>P80</x:v>
      </x:c>
      <x:c r="D88" s="90" t="n">
        <x:f>INDEX('Calendário'!$C$9:$C$214,MATCH($C88,'Calendário'!$B$9:$B$214,0))</x:f>
        <x:v>46417.5</x:v>
      </x:c>
      <x:c r="E88" s="69" t="str">
        <x:f>INDEX('Calendário'!$F$9:$F$214,MATCH($C88,'Calendário'!$B$9:$B$214,0))</x:f>
        <x:v>Estático</x:v>
      </x:c>
      <x:c r="F88" s="69" t="str">
        <x:f>INDEX('Calendário'!$G$9:$G$214,MATCH($C88,'Calendário'!$B$9:$B$214,0))</x:f>
        <x:v>Converse com a Arxis sobre premissas das
alternativas.</x:v>
      </x:c>
      <x:c r="G88" s="78" t="str">
        <x:f>IF(INDEX('Calendário'!$P$9:$P$214,MATCH($C88,'Calendário'!$B$9:$B$214,0))="","",INDEX('Calendário'!$P$9:$P$214,MATCH($C88,'Calendário'!$B$9:$B$214,0)))</x:f>
      </x:c>
      <x:c r="H88" s="75" t="str">
        <x:v>Não iniciada</x:v>
      </x:c>
      <x:c r="I88" s="75" t="str">
        <x:v>Não se aplica</x:v>
      </x:c>
      <x:c r="J88" s="75" t="str">
        <x:v>Pendente</x:v>
      </x:c>
      <x:c r="K88" s="75" t="str">
        <x:v>Pendente</x:v>
      </x:c>
      <x:c r="L88" s="87" t="str">
        <x:f>(COUNTIFS('Calendário'!$B$9:$B$214,$C88,'Calendário'!$J$9:$J$214,"Agendado")+COUNTIFS('Calendário'!$B$9:$B$214,$C88,'Calendário'!$K$9:$K$214,"Agendado")+COUNTIFS('Calendário'!$B$9:$B$214,$C88,'Calendário'!$M$9:$M$214,"Agendado")+COUNTIFS('Calendário'!$B$9:$B$214,$C88,'Calendário'!$N$9:$N$214,"Agendado")+COUNTIFS('Calendário'!$B$9:$B$214,$C88,'Calendário'!$O$9:$O$214,"Agendado")+COUNTIFS('Calendário'!$B$9:$B$214,$C88,'Calendário'!$J$9:$J$214,"Publicado")+COUNTIFS('Calendário'!$B$9:$B$214,$C88,'Calendário'!$K$9:$K$214,"Publicado")+COUNTIFS('Calendário'!$B$9:$B$214,$C88,'Calendário'!$M$9:$M$214,"Publicado")+COUNTIFS('Calendário'!$B$9:$B$214,$C88,'Calendário'!$N$9:$N$214,"Publicado")+COUNTIFS('Calendário'!$B$9:$B$214,$C88,'Calendário'!$O$9:$O$214,"Publicado"))&amp;" de "&amp;(5-COUNTIFS('Calendário'!$B$9:$B$214,$C88,'Calendário'!$N$9:$N$214,"Não se aplica")-COUNTIFS('Calendário'!$B$9:$B$214,$C88,'Calendário'!$O$9:$O$214,"Não se aplica"))</x:f>
        <x:v>0 de 3</x:v>
      </x:c>
      <x:c r="M88" s="87" t="str">
        <x:f>(COUNTIFS('Calendário'!$B$9:$B$214,$C88,'Calendário'!$J$9:$J$214,"Publicado")+COUNTIFS('Calendário'!$B$9:$B$214,$C88,'Calendário'!$K$9:$K$214,"Publicado")+COUNTIFS('Calendário'!$B$9:$B$214,$C88,'Calendário'!$M$9:$M$214,"Publicado")+COUNTIFS('Calendário'!$B$9:$B$214,$C88,'Calendário'!$N$9:$N$214,"Publicado")+COUNTIFS('Calendário'!$B$9:$B$214,$C88,'Calendário'!$O$9:$O$214,"Publicado"))&amp;" de "&amp;(5-COUNTIFS('Calendário'!$B$9:$B$214,$C88,'Calendário'!$N$9:$N$214,"Não se aplica")-COUNTIFS('Calendário'!$B$9:$B$214,$C88,'Calendário'!$O$9:$O$214,"Não se aplica"))</x:f>
        <x:v>0 de 3</x:v>
      </x:c>
      <x:c r="N88" s="75"/>
      <x:c r="O88" s="75"/>
      <x:c r="P88" s="61"/>
    </x:row>
    <x:row r="89" ht="57" customHeight="1">
      <x:c r="A89" s="61"/>
      <x:c r="B89" s="69" t="str">
        <x:f>TEXT(D89,"yyyy-mm")</x:f>
        <x:v>2027-02</x:v>
      </x:c>
      <x:c r="C89" s="72" t="str">
        <x:v>P81</x:v>
      </x:c>
      <x:c r="D89" s="90" t="n">
        <x:f>INDEX('Calendário'!$C$9:$C$214,MATCH($C89,'Calendário'!$B$9:$B$214,0))</x:f>
        <x:v>46419.5</x:v>
      </x:c>
      <x:c r="E89" s="69" t="str">
        <x:f>INDEX('Calendário'!$F$9:$F$214,MATCH($C89,'Calendário'!$B$9:$B$214,0))</x:f>
        <x:v>Carrossel</x:v>
      </x:c>
      <x:c r="F89" s="69" t="str">
        <x:f>INDEX('Calendário'!$G$9:$G$214,MATCH($C89,'Calendário'!$B$9:$B$214,0))</x:f>
        <x:v>Qual informação a entrega precisa conter?</x:v>
      </x:c>
      <x:c r="G89" s="78" t="str">
        <x:f>IF(INDEX('Calendário'!$P$9:$P$214,MATCH($C89,'Calendário'!$B$9:$B$214,0))="","",INDEX('Calendário'!$P$9:$P$214,MATCH($C89,'Calendário'!$B$9:$B$214,0)))</x:f>
      </x:c>
      <x:c r="H89" s="75" t="str">
        <x:v>Não iniciada</x:v>
      </x:c>
      <x:c r="I89" s="75" t="str">
        <x:v>Não se aplica</x:v>
      </x:c>
      <x:c r="J89" s="75" t="str">
        <x:v>Pendente</x:v>
      </x:c>
      <x:c r="K89" s="75" t="str">
        <x:v>Pendente</x:v>
      </x:c>
      <x:c r="L89" s="87" t="str">
        <x:f>(COUNTIFS('Calendário'!$B$9:$B$214,$C89,'Calendário'!$J$9:$J$214,"Agendado")+COUNTIFS('Calendário'!$B$9:$B$214,$C89,'Calendário'!$K$9:$K$214,"Agendado")+COUNTIFS('Calendário'!$B$9:$B$214,$C89,'Calendário'!$M$9:$M$214,"Agendado")+COUNTIFS('Calendário'!$B$9:$B$214,$C89,'Calendário'!$N$9:$N$214,"Agendado")+COUNTIFS('Calendário'!$B$9:$B$214,$C89,'Calendário'!$O$9:$O$214,"Agendado")+COUNTIFS('Calendário'!$B$9:$B$214,$C89,'Calendário'!$J$9:$J$214,"Publicado")+COUNTIFS('Calendário'!$B$9:$B$214,$C89,'Calendário'!$K$9:$K$214,"Publicado")+COUNTIFS('Calendário'!$B$9:$B$214,$C89,'Calendário'!$M$9:$M$214,"Publicado")+COUNTIFS('Calendário'!$B$9:$B$214,$C89,'Calendário'!$N$9:$N$214,"Publicado")+COUNTIFS('Calendário'!$B$9:$B$214,$C89,'Calendário'!$O$9:$O$214,"Publicado"))&amp;" de "&amp;(5-COUNTIFS('Calendário'!$B$9:$B$214,$C89,'Calendário'!$N$9:$N$214,"Não se aplica")-COUNTIFS('Calendário'!$B$9:$B$214,$C89,'Calendário'!$O$9:$O$214,"Não se aplica"))</x:f>
        <x:v>0 de 3</x:v>
      </x:c>
      <x:c r="M89" s="87" t="str">
        <x:f>(COUNTIFS('Calendário'!$B$9:$B$214,$C89,'Calendário'!$J$9:$J$214,"Publicado")+COUNTIFS('Calendário'!$B$9:$B$214,$C89,'Calendário'!$K$9:$K$214,"Publicado")+COUNTIFS('Calendário'!$B$9:$B$214,$C89,'Calendário'!$M$9:$M$214,"Publicado")+COUNTIFS('Calendário'!$B$9:$B$214,$C89,'Calendário'!$N$9:$N$214,"Publicado")+COUNTIFS('Calendário'!$B$9:$B$214,$C89,'Calendário'!$O$9:$O$214,"Publicado"))&amp;" de "&amp;(5-COUNTIFS('Calendário'!$B$9:$B$214,$C89,'Calendário'!$N$9:$N$214,"Não se aplica")-COUNTIFS('Calendário'!$B$9:$B$214,$C89,'Calendário'!$O$9:$O$214,"Não se aplica"))</x:f>
        <x:v>0 de 3</x:v>
      </x:c>
      <x:c r="N89" s="75"/>
      <x:c r="O89" s="75"/>
      <x:c r="P89" s="61"/>
    </x:row>
    <x:row r="90" ht="57" customHeight="1">
      <x:c r="A90" s="61"/>
      <x:c r="B90" s="69" t="str">
        <x:f>TEXT(D90,"yyyy-mm")</x:f>
        <x:v>2027-02</x:v>
      </x:c>
      <x:c r="C90" s="72" t="str">
        <x:v>P82</x:v>
      </x:c>
      <x:c r="D90" s="90" t="n">
        <x:f>INDEX('Calendário'!$C$9:$C$214,MATCH($C90,'Calendário'!$B$9:$B$214,0))</x:f>
        <x:v>46421.5</x:v>
      </x:c>
      <x:c r="E90" s="69" t="str">
        <x:f>INDEX('Calendário'!$F$9:$F$214,MATCH($C90,'Calendário'!$B$9:$B$214,0))</x:f>
        <x:v>Reel</x:v>
      </x:c>
      <x:c r="F90" s="69" t="str">
        <x:f>INDEX('Calendário'!$G$9:$G$214,MATCH($C90,'Calendário'!$B$9:$B$214,0))</x:f>
        <x:v>Exemplo prático: requisitos de
informação.</x:v>
      </x:c>
      <x:c r="G90" s="78" t="str">
        <x:f>IF(INDEX('Calendário'!$P$9:$P$214,MATCH($C90,'Calendário'!$B$9:$B$214,0))="","",INDEX('Calendário'!$P$9:$P$214,MATCH($C90,'Calendário'!$B$9:$B$214,0)))</x:f>
      </x:c>
      <x:c r="H90" s="75" t="str">
        <x:v>Não iniciada</x:v>
      </x:c>
      <x:c r="I90" s="75" t="str">
        <x:v>Não iniciado</x:v>
      </x:c>
      <x:c r="J90" s="75" t="str">
        <x:v>Pendente</x:v>
      </x:c>
      <x:c r="K90" s="75" t="str">
        <x:v>Pendente</x:v>
      </x:c>
      <x:c r="L90" s="87" t="str">
        <x:f>(COUNTIFS('Calendário'!$B$9:$B$214,$C90,'Calendário'!$J$9:$J$214,"Agendado")+COUNTIFS('Calendário'!$B$9:$B$214,$C90,'Calendário'!$K$9:$K$214,"Agendado")+COUNTIFS('Calendário'!$B$9:$B$214,$C90,'Calendário'!$M$9:$M$214,"Agendado")+COUNTIFS('Calendário'!$B$9:$B$214,$C90,'Calendário'!$N$9:$N$214,"Agendado")+COUNTIFS('Calendário'!$B$9:$B$214,$C90,'Calendário'!$O$9:$O$214,"Agendado")+COUNTIFS('Calendário'!$B$9:$B$214,$C90,'Calendário'!$J$9:$J$214,"Publicado")+COUNTIFS('Calendário'!$B$9:$B$214,$C90,'Calendário'!$K$9:$K$214,"Publicado")+COUNTIFS('Calendário'!$B$9:$B$214,$C90,'Calendário'!$M$9:$M$214,"Publicado")+COUNTIFS('Calendário'!$B$9:$B$214,$C90,'Calendário'!$N$9:$N$214,"Publicado")+COUNTIFS('Calendário'!$B$9:$B$214,$C90,'Calendário'!$O$9:$O$214,"Publicado"))&amp;" de "&amp;(5-COUNTIFS('Calendário'!$B$9:$B$214,$C90,'Calendário'!$N$9:$N$214,"Não se aplica")-COUNTIFS('Calendário'!$B$9:$B$214,$C90,'Calendário'!$O$9:$O$214,"Não se aplica"))</x:f>
        <x:v>0 de 5</x:v>
      </x:c>
      <x:c r="M90" s="87" t="str">
        <x:f>(COUNTIFS('Calendário'!$B$9:$B$214,$C90,'Calendário'!$J$9:$J$214,"Publicado")+COUNTIFS('Calendário'!$B$9:$B$214,$C90,'Calendário'!$K$9:$K$214,"Publicado")+COUNTIFS('Calendário'!$B$9:$B$214,$C90,'Calendário'!$M$9:$M$214,"Publicado")+COUNTIFS('Calendário'!$B$9:$B$214,$C90,'Calendário'!$N$9:$N$214,"Publicado")+COUNTIFS('Calendário'!$B$9:$B$214,$C90,'Calendário'!$O$9:$O$214,"Publicado"))&amp;" de "&amp;(5-COUNTIFS('Calendário'!$B$9:$B$214,$C90,'Calendário'!$N$9:$N$214,"Não se aplica")-COUNTIFS('Calendário'!$B$9:$B$214,$C90,'Calendário'!$O$9:$O$214,"Não se aplica"))</x:f>
        <x:v>0 de 5</x:v>
      </x:c>
      <x:c r="N90" s="75"/>
      <x:c r="O90" s="75"/>
      <x:c r="P90" s="61"/>
    </x:row>
    <x:row r="91" ht="57" customHeight="1">
      <x:c r="A91" s="61"/>
      <x:c r="B91" s="69" t="str">
        <x:f>TEXT(D91,"yyyy-mm")</x:f>
        <x:v>2027-02</x:v>
      </x:c>
      <x:c r="C91" s="72" t="str">
        <x:v>P83</x:v>
      </x:c>
      <x:c r="D91" s="90" t="n">
        <x:f>INDEX('Calendário'!$C$9:$C$214,MATCH($C91,'Calendário'!$B$9:$B$214,0))</x:f>
        <x:v>46423.5</x:v>
      </x:c>
      <x:c r="E91" s="69" t="str">
        <x:f>INDEX('Calendário'!$F$9:$F$214,MATCH($C91,'Calendário'!$B$9:$B$214,0))</x:f>
        <x:v>Carrossel</x:v>
      </x:c>
      <x:c r="F91" s="69" t="str">
        <x:f>INDEX('Calendário'!$G$9:$G$214,MATCH($C91,'Calendário'!$B$9:$B$214,0))</x:f>
        <x:v>Checklist: requisitos de informação.</x:v>
      </x:c>
      <x:c r="G91" s="78" t="str">
        <x:f>IF(INDEX('Calendário'!$P$9:$P$214,MATCH($C91,'Calendário'!$B$9:$B$214,0))="","",INDEX('Calendário'!$P$9:$P$214,MATCH($C91,'Calendário'!$B$9:$B$214,0)))</x:f>
      </x:c>
      <x:c r="H91" s="75" t="str">
        <x:v>Não iniciada</x:v>
      </x:c>
      <x:c r="I91" s="75" t="str">
        <x:v>Não se aplica</x:v>
      </x:c>
      <x:c r="J91" s="75" t="str">
        <x:v>Pendente</x:v>
      </x:c>
      <x:c r="K91" s="75" t="str">
        <x:v>Pendente</x:v>
      </x:c>
      <x:c r="L91" s="87" t="str">
        <x:f>(COUNTIFS('Calendário'!$B$9:$B$214,$C91,'Calendário'!$J$9:$J$214,"Agendado")+COUNTIFS('Calendário'!$B$9:$B$214,$C91,'Calendário'!$K$9:$K$214,"Agendado")+COUNTIFS('Calendário'!$B$9:$B$214,$C91,'Calendário'!$M$9:$M$214,"Agendado")+COUNTIFS('Calendário'!$B$9:$B$214,$C91,'Calendário'!$N$9:$N$214,"Agendado")+COUNTIFS('Calendário'!$B$9:$B$214,$C91,'Calendário'!$O$9:$O$214,"Agendado")+COUNTIFS('Calendário'!$B$9:$B$214,$C91,'Calendário'!$J$9:$J$214,"Publicado")+COUNTIFS('Calendário'!$B$9:$B$214,$C91,'Calendário'!$K$9:$K$214,"Publicado")+COUNTIFS('Calendário'!$B$9:$B$214,$C91,'Calendário'!$M$9:$M$214,"Publicado")+COUNTIFS('Calendário'!$B$9:$B$214,$C91,'Calendário'!$N$9:$N$214,"Publicado")+COUNTIFS('Calendário'!$B$9:$B$214,$C91,'Calendário'!$O$9:$O$214,"Publicado"))&amp;" de "&amp;(5-COUNTIFS('Calendário'!$B$9:$B$214,$C91,'Calendário'!$N$9:$N$214,"Não se aplica")-COUNTIFS('Calendário'!$B$9:$B$214,$C91,'Calendário'!$O$9:$O$214,"Não se aplica"))</x:f>
        <x:v>0 de 3</x:v>
      </x:c>
      <x:c r="M91" s="87" t="str">
        <x:f>(COUNTIFS('Calendário'!$B$9:$B$214,$C91,'Calendário'!$J$9:$J$214,"Publicado")+COUNTIFS('Calendário'!$B$9:$B$214,$C91,'Calendário'!$K$9:$K$214,"Publicado")+COUNTIFS('Calendário'!$B$9:$B$214,$C91,'Calendário'!$M$9:$M$214,"Publicado")+COUNTIFS('Calendário'!$B$9:$B$214,$C91,'Calendário'!$N$9:$N$214,"Publicado")+COUNTIFS('Calendário'!$B$9:$B$214,$C91,'Calendário'!$O$9:$O$214,"Publicado"))&amp;" de "&amp;(5-COUNTIFS('Calendário'!$B$9:$B$214,$C91,'Calendário'!$N$9:$N$214,"Não se aplica")-COUNTIFS('Calendário'!$B$9:$B$214,$C91,'Calendário'!$O$9:$O$214,"Não se aplica"))</x:f>
        <x:v>0 de 3</x:v>
      </x:c>
      <x:c r="N91" s="75"/>
      <x:c r="O91" s="75"/>
      <x:c r="P91" s="61"/>
    </x:row>
    <x:row r="92" ht="57" customHeight="1">
      <x:c r="A92" s="61"/>
      <x:c r="B92" s="69" t="str">
        <x:f>TEXT(D92,"yyyy-mm")</x:f>
        <x:v>2027-02</x:v>
      </x:c>
      <x:c r="C92" s="72" t="str">
        <x:v>P84</x:v>
      </x:c>
      <x:c r="D92" s="90" t="n">
        <x:f>INDEX('Calendário'!$C$9:$C$214,MATCH($C92,'Calendário'!$B$9:$B$214,0))</x:f>
        <x:v>46424.5</x:v>
      </x:c>
      <x:c r="E92" s="69" t="str">
        <x:f>INDEX('Calendário'!$F$9:$F$214,MATCH($C92,'Calendário'!$B$9:$B$214,0))</x:f>
        <x:v>Estático</x:v>
      </x:c>
      <x:c r="F92" s="69" t="str">
        <x:f>INDEX('Calendário'!$G$9:$G$214,MATCH($C92,'Calendário'!$B$9:$B$214,0))</x:f>
        <x:v>Quem define os dados necessários no seu
projeto?</x:v>
      </x:c>
      <x:c r="G92" s="78" t="str">
        <x:f>IF(INDEX('Calendário'!$P$9:$P$214,MATCH($C92,'Calendário'!$B$9:$B$214,0))="","",INDEX('Calendário'!$P$9:$P$214,MATCH($C92,'Calendário'!$B$9:$B$214,0)))</x:f>
      </x:c>
      <x:c r="H92" s="75" t="str">
        <x:v>Não iniciada</x:v>
      </x:c>
      <x:c r="I92" s="75" t="str">
        <x:v>Não se aplica</x:v>
      </x:c>
      <x:c r="J92" s="75" t="str">
        <x:v>Pendente</x:v>
      </x:c>
      <x:c r="K92" s="75" t="str">
        <x:v>Pendente</x:v>
      </x:c>
      <x:c r="L92" s="87" t="str">
        <x:f>(COUNTIFS('Calendário'!$B$9:$B$214,$C92,'Calendário'!$J$9:$J$214,"Agendado")+COUNTIFS('Calendário'!$B$9:$B$214,$C92,'Calendário'!$K$9:$K$214,"Agendado")+COUNTIFS('Calendário'!$B$9:$B$214,$C92,'Calendário'!$M$9:$M$214,"Agendado")+COUNTIFS('Calendário'!$B$9:$B$214,$C92,'Calendário'!$N$9:$N$214,"Agendado")+COUNTIFS('Calendário'!$B$9:$B$214,$C92,'Calendário'!$O$9:$O$214,"Agendado")+COUNTIFS('Calendário'!$B$9:$B$214,$C92,'Calendário'!$J$9:$J$214,"Publicado")+COUNTIFS('Calendário'!$B$9:$B$214,$C92,'Calendário'!$K$9:$K$214,"Publicado")+COUNTIFS('Calendário'!$B$9:$B$214,$C92,'Calendário'!$M$9:$M$214,"Publicado")+COUNTIFS('Calendário'!$B$9:$B$214,$C92,'Calendário'!$N$9:$N$214,"Publicado")+COUNTIFS('Calendário'!$B$9:$B$214,$C92,'Calendário'!$O$9:$O$214,"Publicado"))&amp;" de "&amp;(5-COUNTIFS('Calendário'!$B$9:$B$214,$C92,'Calendário'!$N$9:$N$214,"Não se aplica")-COUNTIFS('Calendário'!$B$9:$B$214,$C92,'Calendário'!$O$9:$O$214,"Não se aplica"))</x:f>
        <x:v>0 de 3</x:v>
      </x:c>
      <x:c r="M92" s="87" t="str">
        <x:f>(COUNTIFS('Calendário'!$B$9:$B$214,$C92,'Calendário'!$J$9:$J$214,"Publicado")+COUNTIFS('Calendário'!$B$9:$B$214,$C92,'Calendário'!$K$9:$K$214,"Publicado")+COUNTIFS('Calendário'!$B$9:$B$214,$C92,'Calendário'!$M$9:$M$214,"Publicado")+COUNTIFS('Calendário'!$B$9:$B$214,$C92,'Calendário'!$N$9:$N$214,"Publicado")+COUNTIFS('Calendário'!$B$9:$B$214,$C92,'Calendário'!$O$9:$O$214,"Publicado"))&amp;" de "&amp;(5-COUNTIFS('Calendário'!$B$9:$B$214,$C92,'Calendário'!$N$9:$N$214,"Não se aplica")-COUNTIFS('Calendário'!$B$9:$B$214,$C92,'Calendário'!$O$9:$O$214,"Não se aplica"))</x:f>
        <x:v>0 de 3</x:v>
      </x:c>
      <x:c r="N92" s="75"/>
      <x:c r="O92" s="75"/>
      <x:c r="P92" s="61"/>
    </x:row>
    <x:row r="93" ht="57" customHeight="1">
      <x:c r="A93" s="61"/>
      <x:c r="B93" s="69" t="str">
        <x:f>TEXT(D93,"yyyy-mm")</x:f>
        <x:v>2027-02</x:v>
      </x:c>
      <x:c r="C93" s="72" t="str">
        <x:v>P85</x:v>
      </x:c>
      <x:c r="D93" s="90" t="n">
        <x:f>INDEX('Calendário'!$C$9:$C$214,MATCH($C93,'Calendário'!$B$9:$B$214,0))</x:f>
        <x:v>46426.5</x:v>
      </x:c>
      <x:c r="E93" s="69" t="str">
        <x:f>INDEX('Calendário'!$F$9:$F$214,MATCH($C93,'Calendário'!$B$9:$B$214,0))</x:f>
        <x:v>Carrossel</x:v>
      </x:c>
      <x:c r="F93" s="69" t="str">
        <x:f>INDEX('Calendário'!$G$9:$G$214,MATCH($C93,'Calendário'!$B$9:$B$214,0))</x:f>
        <x:v>Campo vazio e valor zero significam a
mesma coisa?</x:v>
      </x:c>
      <x:c r="G93" s="78" t="str">
        <x:f>IF(INDEX('Calendário'!$P$9:$P$214,MATCH($C93,'Calendário'!$B$9:$B$214,0))="","",INDEX('Calendário'!$P$9:$P$214,MATCH($C93,'Calendário'!$B$9:$B$214,0)))</x:f>
      </x:c>
      <x:c r="H93" s="75" t="str">
        <x:v>Não iniciada</x:v>
      </x:c>
      <x:c r="I93" s="75" t="str">
        <x:v>Não se aplica</x:v>
      </x:c>
      <x:c r="J93" s="75" t="str">
        <x:v>Pendente</x:v>
      </x:c>
      <x:c r="K93" s="75" t="str">
        <x:v>Pendente</x:v>
      </x:c>
      <x:c r="L93" s="87" t="str">
        <x:f>(COUNTIFS('Calendário'!$B$9:$B$214,$C93,'Calendário'!$J$9:$J$214,"Agendado")+COUNTIFS('Calendário'!$B$9:$B$214,$C93,'Calendário'!$K$9:$K$214,"Agendado")+COUNTIFS('Calendário'!$B$9:$B$214,$C93,'Calendário'!$M$9:$M$214,"Agendado")+COUNTIFS('Calendário'!$B$9:$B$214,$C93,'Calendário'!$N$9:$N$214,"Agendado")+COUNTIFS('Calendário'!$B$9:$B$214,$C93,'Calendário'!$O$9:$O$214,"Agendado")+COUNTIFS('Calendário'!$B$9:$B$214,$C93,'Calendário'!$J$9:$J$214,"Publicado")+COUNTIFS('Calendário'!$B$9:$B$214,$C93,'Calendário'!$K$9:$K$214,"Publicado")+COUNTIFS('Calendário'!$B$9:$B$214,$C93,'Calendário'!$M$9:$M$214,"Publicado")+COUNTIFS('Calendário'!$B$9:$B$214,$C93,'Calendário'!$N$9:$N$214,"Publicado")+COUNTIFS('Calendário'!$B$9:$B$214,$C93,'Calendário'!$O$9:$O$214,"Publicado"))&amp;" de "&amp;(5-COUNTIFS('Calendário'!$B$9:$B$214,$C93,'Calendário'!$N$9:$N$214,"Não se aplica")-COUNTIFS('Calendário'!$B$9:$B$214,$C93,'Calendário'!$O$9:$O$214,"Não se aplica"))</x:f>
        <x:v>0 de 3</x:v>
      </x:c>
      <x:c r="M93" s="87" t="str">
        <x:f>(COUNTIFS('Calendário'!$B$9:$B$214,$C93,'Calendário'!$J$9:$J$214,"Publicado")+COUNTIFS('Calendário'!$B$9:$B$214,$C93,'Calendário'!$K$9:$K$214,"Publicado")+COUNTIFS('Calendário'!$B$9:$B$214,$C93,'Calendário'!$M$9:$M$214,"Publicado")+COUNTIFS('Calendário'!$B$9:$B$214,$C93,'Calendário'!$N$9:$N$214,"Publicado")+COUNTIFS('Calendário'!$B$9:$B$214,$C93,'Calendário'!$O$9:$O$214,"Publicado"))&amp;" de "&amp;(5-COUNTIFS('Calendário'!$B$9:$B$214,$C93,'Calendário'!$N$9:$N$214,"Não se aplica")-COUNTIFS('Calendário'!$B$9:$B$214,$C93,'Calendário'!$O$9:$O$214,"Não se aplica"))</x:f>
        <x:v>0 de 3</x:v>
      </x:c>
      <x:c r="N93" s="75"/>
      <x:c r="O93" s="75"/>
      <x:c r="P93" s="61"/>
    </x:row>
    <x:row r="94" ht="57" customHeight="1">
      <x:c r="A94" s="61"/>
      <x:c r="B94" s="69" t="str">
        <x:f>TEXT(D94,"yyyy-mm")</x:f>
        <x:v>2027-02</x:v>
      </x:c>
      <x:c r="C94" s="72" t="str">
        <x:v>P86</x:v>
      </x:c>
      <x:c r="D94" s="90" t="n">
        <x:f>INDEX('Calendário'!$C$9:$C$214,MATCH($C94,'Calendário'!$B$9:$B$214,0))</x:f>
        <x:v>46428.5</x:v>
      </x:c>
      <x:c r="E94" s="69" t="str">
        <x:f>INDEX('Calendário'!$F$9:$F$214,MATCH($C94,'Calendário'!$B$9:$B$214,0))</x:f>
        <x:v>Reel</x:v>
      </x:c>
      <x:c r="F94" s="69" t="str">
        <x:f>INDEX('Calendário'!$G$9:$G$214,MATCH($C94,'Calendário'!$B$9:$B$214,0))</x:f>
        <x:v>Exemplo prático: campos sem
preenchimento.</x:v>
      </x:c>
      <x:c r="G94" s="78" t="str">
        <x:f>IF(INDEX('Calendário'!$P$9:$P$214,MATCH($C94,'Calendário'!$B$9:$B$214,0))="","",INDEX('Calendário'!$P$9:$P$214,MATCH($C94,'Calendário'!$B$9:$B$214,0)))</x:f>
      </x:c>
      <x:c r="H94" s="75" t="str">
        <x:v>Não iniciada</x:v>
      </x:c>
      <x:c r="I94" s="75" t="str">
        <x:v>Não iniciado</x:v>
      </x:c>
      <x:c r="J94" s="75" t="str">
        <x:v>Pendente</x:v>
      </x:c>
      <x:c r="K94" s="75" t="str">
        <x:v>Pendente</x:v>
      </x:c>
      <x:c r="L94" s="87" t="str">
        <x:f>(COUNTIFS('Calendário'!$B$9:$B$214,$C94,'Calendário'!$J$9:$J$214,"Agendado")+COUNTIFS('Calendário'!$B$9:$B$214,$C94,'Calendário'!$K$9:$K$214,"Agendado")+COUNTIFS('Calendário'!$B$9:$B$214,$C94,'Calendário'!$M$9:$M$214,"Agendado")+COUNTIFS('Calendário'!$B$9:$B$214,$C94,'Calendário'!$N$9:$N$214,"Agendado")+COUNTIFS('Calendário'!$B$9:$B$214,$C94,'Calendário'!$O$9:$O$214,"Agendado")+COUNTIFS('Calendário'!$B$9:$B$214,$C94,'Calendário'!$J$9:$J$214,"Publicado")+COUNTIFS('Calendário'!$B$9:$B$214,$C94,'Calendário'!$K$9:$K$214,"Publicado")+COUNTIFS('Calendário'!$B$9:$B$214,$C94,'Calendário'!$M$9:$M$214,"Publicado")+COUNTIFS('Calendário'!$B$9:$B$214,$C94,'Calendário'!$N$9:$N$214,"Publicado")+COUNTIFS('Calendário'!$B$9:$B$214,$C94,'Calendário'!$O$9:$O$214,"Publicado"))&amp;" de "&amp;(5-COUNTIFS('Calendário'!$B$9:$B$214,$C94,'Calendário'!$N$9:$N$214,"Não se aplica")-COUNTIFS('Calendário'!$B$9:$B$214,$C94,'Calendário'!$O$9:$O$214,"Não se aplica"))</x:f>
        <x:v>0 de 5</x:v>
      </x:c>
      <x:c r="M94" s="87" t="str">
        <x:f>(COUNTIFS('Calendário'!$B$9:$B$214,$C94,'Calendário'!$J$9:$J$214,"Publicado")+COUNTIFS('Calendário'!$B$9:$B$214,$C94,'Calendário'!$K$9:$K$214,"Publicado")+COUNTIFS('Calendário'!$B$9:$B$214,$C94,'Calendário'!$M$9:$M$214,"Publicado")+COUNTIFS('Calendário'!$B$9:$B$214,$C94,'Calendário'!$N$9:$N$214,"Publicado")+COUNTIFS('Calendário'!$B$9:$B$214,$C94,'Calendário'!$O$9:$O$214,"Publicado"))&amp;" de "&amp;(5-COUNTIFS('Calendário'!$B$9:$B$214,$C94,'Calendário'!$N$9:$N$214,"Não se aplica")-COUNTIFS('Calendário'!$B$9:$B$214,$C94,'Calendário'!$O$9:$O$214,"Não se aplica"))</x:f>
        <x:v>0 de 5</x:v>
      </x:c>
      <x:c r="N94" s="75"/>
      <x:c r="O94" s="75"/>
      <x:c r="P94" s="61"/>
    </x:row>
    <x:row r="95" ht="57" customHeight="1">
      <x:c r="A95" s="61"/>
      <x:c r="B95" s="69" t="str">
        <x:f>TEXT(D95,"yyyy-mm")</x:f>
        <x:v>2027-02</x:v>
      </x:c>
      <x:c r="C95" s="72" t="str">
        <x:v>P87</x:v>
      </x:c>
      <x:c r="D95" s="90" t="n">
        <x:f>INDEX('Calendário'!$C$9:$C$214,MATCH($C95,'Calendário'!$B$9:$B$214,0))</x:f>
        <x:v>46430.5</x:v>
      </x:c>
      <x:c r="E95" s="69" t="str">
        <x:f>INDEX('Calendário'!$F$9:$F$214,MATCH($C95,'Calendário'!$B$9:$B$214,0))</x:f>
        <x:v>Carrossel</x:v>
      </x:c>
      <x:c r="F95" s="69" t="str">
        <x:f>INDEX('Calendário'!$G$9:$G$214,MATCH($C95,'Calendário'!$B$9:$B$214,0))</x:f>
        <x:v>Checklist: campos sem preenchimento.</x:v>
      </x:c>
      <x:c r="G95" s="78" t="str">
        <x:f>IF(INDEX('Calendário'!$P$9:$P$214,MATCH($C95,'Calendário'!$B$9:$B$214,0))="","",INDEX('Calendário'!$P$9:$P$214,MATCH($C95,'Calendário'!$B$9:$B$214,0)))</x:f>
      </x:c>
      <x:c r="H95" s="75" t="str">
        <x:v>Não iniciada</x:v>
      </x:c>
      <x:c r="I95" s="75" t="str">
        <x:v>Não se aplica</x:v>
      </x:c>
      <x:c r="J95" s="75" t="str">
        <x:v>Pendente</x:v>
      </x:c>
      <x:c r="K95" s="75" t="str">
        <x:v>Pendente</x:v>
      </x:c>
      <x:c r="L95" s="87" t="str">
        <x:f>(COUNTIFS('Calendário'!$B$9:$B$214,$C95,'Calendário'!$J$9:$J$214,"Agendado")+COUNTIFS('Calendário'!$B$9:$B$214,$C95,'Calendário'!$K$9:$K$214,"Agendado")+COUNTIFS('Calendário'!$B$9:$B$214,$C95,'Calendário'!$M$9:$M$214,"Agendado")+COUNTIFS('Calendário'!$B$9:$B$214,$C95,'Calendário'!$N$9:$N$214,"Agendado")+COUNTIFS('Calendário'!$B$9:$B$214,$C95,'Calendário'!$O$9:$O$214,"Agendado")+COUNTIFS('Calendário'!$B$9:$B$214,$C95,'Calendário'!$J$9:$J$214,"Publicado")+COUNTIFS('Calendário'!$B$9:$B$214,$C95,'Calendário'!$K$9:$K$214,"Publicado")+COUNTIFS('Calendário'!$B$9:$B$214,$C95,'Calendário'!$M$9:$M$214,"Publicado")+COUNTIFS('Calendário'!$B$9:$B$214,$C95,'Calendário'!$N$9:$N$214,"Publicado")+COUNTIFS('Calendário'!$B$9:$B$214,$C95,'Calendário'!$O$9:$O$214,"Publicado"))&amp;" de "&amp;(5-COUNTIFS('Calendário'!$B$9:$B$214,$C95,'Calendário'!$N$9:$N$214,"Não se aplica")-COUNTIFS('Calendário'!$B$9:$B$214,$C95,'Calendário'!$O$9:$O$214,"Não se aplica"))</x:f>
        <x:v>0 de 3</x:v>
      </x:c>
      <x:c r="M95" s="87" t="str">
        <x:f>(COUNTIFS('Calendário'!$B$9:$B$214,$C95,'Calendário'!$J$9:$J$214,"Publicado")+COUNTIFS('Calendário'!$B$9:$B$214,$C95,'Calendário'!$K$9:$K$214,"Publicado")+COUNTIFS('Calendário'!$B$9:$B$214,$C95,'Calendário'!$M$9:$M$214,"Publicado")+COUNTIFS('Calendário'!$B$9:$B$214,$C95,'Calendário'!$N$9:$N$214,"Publicado")+COUNTIFS('Calendário'!$B$9:$B$214,$C95,'Calendário'!$O$9:$O$214,"Publicado"))&amp;" de "&amp;(5-COUNTIFS('Calendário'!$B$9:$B$214,$C95,'Calendário'!$N$9:$N$214,"Não se aplica")-COUNTIFS('Calendário'!$B$9:$B$214,$C95,'Calendário'!$O$9:$O$214,"Não se aplica"))</x:f>
        <x:v>0 de 3</x:v>
      </x:c>
      <x:c r="N95" s="75"/>
      <x:c r="O95" s="75"/>
      <x:c r="P95" s="61"/>
    </x:row>
    <x:row r="96" ht="57" customHeight="1">
      <x:c r="A96" s="61"/>
      <x:c r="B96" s="69" t="str">
        <x:f>TEXT(D96,"yyyy-mm")</x:f>
        <x:v>2027-02</x:v>
      </x:c>
      <x:c r="C96" s="72" t="str">
        <x:v>P88</x:v>
      </x:c>
      <x:c r="D96" s="90" t="n">
        <x:f>INDEX('Calendário'!$C$9:$C$214,MATCH($C96,'Calendário'!$B$9:$B$214,0))</x:f>
        <x:v>46431.5</x:v>
      </x:c>
      <x:c r="E96" s="69" t="str">
        <x:f>INDEX('Calendário'!$F$9:$F$214,MATCH($C96,'Calendário'!$B$9:$B$214,0))</x:f>
        <x:v>Estático</x:v>
      </x:c>
      <x:c r="F96" s="69" t="str">
        <x:f>INDEX('Calendário'!$G$9:$G$214,MATCH($C96,'Calendário'!$B$9:$B$214,0))</x:f>
        <x:v>Como vocês tratam um dado ainda não
informado?</x:v>
      </x:c>
      <x:c r="G96" s="78" t="str">
        <x:f>IF(INDEX('Calendário'!$P$9:$P$214,MATCH($C96,'Calendário'!$B$9:$B$214,0))="","",INDEX('Calendário'!$P$9:$P$214,MATCH($C96,'Calendário'!$B$9:$B$214,0)))</x:f>
      </x:c>
      <x:c r="H96" s="75" t="str">
        <x:v>Não iniciada</x:v>
      </x:c>
      <x:c r="I96" s="75" t="str">
        <x:v>Não se aplica</x:v>
      </x:c>
      <x:c r="J96" s="75" t="str">
        <x:v>Pendente</x:v>
      </x:c>
      <x:c r="K96" s="75" t="str">
        <x:v>Pendente</x:v>
      </x:c>
      <x:c r="L96" s="87" t="str">
        <x:f>(COUNTIFS('Calendário'!$B$9:$B$214,$C96,'Calendário'!$J$9:$J$214,"Agendado")+COUNTIFS('Calendário'!$B$9:$B$214,$C96,'Calendário'!$K$9:$K$214,"Agendado")+COUNTIFS('Calendário'!$B$9:$B$214,$C96,'Calendário'!$M$9:$M$214,"Agendado")+COUNTIFS('Calendário'!$B$9:$B$214,$C96,'Calendário'!$N$9:$N$214,"Agendado")+COUNTIFS('Calendário'!$B$9:$B$214,$C96,'Calendário'!$O$9:$O$214,"Agendado")+COUNTIFS('Calendário'!$B$9:$B$214,$C96,'Calendário'!$J$9:$J$214,"Publicado")+COUNTIFS('Calendário'!$B$9:$B$214,$C96,'Calendário'!$K$9:$K$214,"Publicado")+COUNTIFS('Calendário'!$B$9:$B$214,$C96,'Calendário'!$M$9:$M$214,"Publicado")+COUNTIFS('Calendário'!$B$9:$B$214,$C96,'Calendário'!$N$9:$N$214,"Publicado")+COUNTIFS('Calendário'!$B$9:$B$214,$C96,'Calendário'!$O$9:$O$214,"Publicado"))&amp;" de "&amp;(5-COUNTIFS('Calendário'!$B$9:$B$214,$C96,'Calendário'!$N$9:$N$214,"Não se aplica")-COUNTIFS('Calendário'!$B$9:$B$214,$C96,'Calendário'!$O$9:$O$214,"Não se aplica"))</x:f>
        <x:v>0 de 3</x:v>
      </x:c>
      <x:c r="M96" s="87" t="str">
        <x:f>(COUNTIFS('Calendário'!$B$9:$B$214,$C96,'Calendário'!$J$9:$J$214,"Publicado")+COUNTIFS('Calendário'!$B$9:$B$214,$C96,'Calendário'!$K$9:$K$214,"Publicado")+COUNTIFS('Calendário'!$B$9:$B$214,$C96,'Calendário'!$M$9:$M$214,"Publicado")+COUNTIFS('Calendário'!$B$9:$B$214,$C96,'Calendário'!$N$9:$N$214,"Publicado")+COUNTIFS('Calendário'!$B$9:$B$214,$C96,'Calendário'!$O$9:$O$214,"Publicado"))&amp;" de "&amp;(5-COUNTIFS('Calendário'!$B$9:$B$214,$C96,'Calendário'!$N$9:$N$214,"Não se aplica")-COUNTIFS('Calendário'!$B$9:$B$214,$C96,'Calendário'!$O$9:$O$214,"Não se aplica"))</x:f>
        <x:v>0 de 3</x:v>
      </x:c>
      <x:c r="N96" s="75"/>
      <x:c r="O96" s="75"/>
      <x:c r="P96" s="61"/>
    </x:row>
    <x:row r="97" ht="57" customHeight="1">
      <x:c r="A97" s="61"/>
      <x:c r="B97" s="69" t="str">
        <x:f>TEXT(D97,"yyyy-mm")</x:f>
        <x:v>2027-02</x:v>
      </x:c>
      <x:c r="C97" s="72" t="str">
        <x:v>P89</x:v>
      </x:c>
      <x:c r="D97" s="90" t="n">
        <x:f>INDEX('Calendário'!$C$9:$C$214,MATCH($C97,'Calendário'!$B$9:$B$214,0))</x:f>
        <x:v>46433.5</x:v>
      </x:c>
      <x:c r="E97" s="69" t="str">
        <x:f>INDEX('Calendário'!$F$9:$F$214,MATCH($C97,'Calendário'!$B$9:$B$214,0))</x:f>
        <x:v>Carrossel</x:v>
      </x:c>
      <x:c r="F97" s="69" t="str">
        <x:f>INDEX('Calendário'!$G$9:$G$214,MATCH($C97,'Calendário'!$B$9:$B$214,0))</x:f>
        <x:v>Este número representa exatamente o quê?</x:v>
      </x:c>
      <x:c r="G97" s="78" t="str">
        <x:f>IF(INDEX('Calendário'!$P$9:$P$214,MATCH($C97,'Calendário'!$B$9:$B$214,0))="","",INDEX('Calendário'!$P$9:$P$214,MATCH($C97,'Calendário'!$B$9:$B$214,0)))</x:f>
      </x:c>
      <x:c r="H97" s="75" t="str">
        <x:v>Não iniciada</x:v>
      </x:c>
      <x:c r="I97" s="75" t="str">
        <x:v>Não se aplica</x:v>
      </x:c>
      <x:c r="J97" s="75" t="str">
        <x:v>Pendente</x:v>
      </x:c>
      <x:c r="K97" s="75" t="str">
        <x:v>Pendente</x:v>
      </x:c>
      <x:c r="L97" s="87" t="str">
        <x:f>(COUNTIFS('Calendário'!$B$9:$B$214,$C97,'Calendário'!$J$9:$J$214,"Agendado")+COUNTIFS('Calendário'!$B$9:$B$214,$C97,'Calendário'!$K$9:$K$214,"Agendado")+COUNTIFS('Calendário'!$B$9:$B$214,$C97,'Calendário'!$M$9:$M$214,"Agendado")+COUNTIFS('Calendário'!$B$9:$B$214,$C97,'Calendário'!$N$9:$N$214,"Agendado")+COUNTIFS('Calendário'!$B$9:$B$214,$C97,'Calendário'!$O$9:$O$214,"Agendado")+COUNTIFS('Calendário'!$B$9:$B$214,$C97,'Calendário'!$J$9:$J$214,"Publicado")+COUNTIFS('Calendário'!$B$9:$B$214,$C97,'Calendário'!$K$9:$K$214,"Publicado")+COUNTIFS('Calendário'!$B$9:$B$214,$C97,'Calendário'!$M$9:$M$214,"Publicado")+COUNTIFS('Calendário'!$B$9:$B$214,$C97,'Calendário'!$N$9:$N$214,"Publicado")+COUNTIFS('Calendário'!$B$9:$B$214,$C97,'Calendário'!$O$9:$O$214,"Publicado"))&amp;" de "&amp;(5-COUNTIFS('Calendário'!$B$9:$B$214,$C97,'Calendário'!$N$9:$N$214,"Não se aplica")-COUNTIFS('Calendário'!$B$9:$B$214,$C97,'Calendário'!$O$9:$O$214,"Não se aplica"))</x:f>
        <x:v>0 de 3</x:v>
      </x:c>
      <x:c r="M97" s="87" t="str">
        <x:f>(COUNTIFS('Calendário'!$B$9:$B$214,$C97,'Calendário'!$J$9:$J$214,"Publicado")+COUNTIFS('Calendário'!$B$9:$B$214,$C97,'Calendário'!$K$9:$K$214,"Publicado")+COUNTIFS('Calendário'!$B$9:$B$214,$C97,'Calendário'!$M$9:$M$214,"Publicado")+COUNTIFS('Calendário'!$B$9:$B$214,$C97,'Calendário'!$N$9:$N$214,"Publicado")+COUNTIFS('Calendário'!$B$9:$B$214,$C97,'Calendário'!$O$9:$O$214,"Publicado"))&amp;" de "&amp;(5-COUNTIFS('Calendário'!$B$9:$B$214,$C97,'Calendário'!$N$9:$N$214,"Não se aplica")-COUNTIFS('Calendário'!$B$9:$B$214,$C97,'Calendário'!$O$9:$O$214,"Não se aplica"))</x:f>
        <x:v>0 de 3</x:v>
      </x:c>
      <x:c r="N97" s="75"/>
      <x:c r="O97" s="75"/>
      <x:c r="P97" s="61"/>
    </x:row>
    <x:row r="98" ht="57" customHeight="1">
      <x:c r="A98" s="61"/>
      <x:c r="B98" s="69" t="str">
        <x:f>TEXT(D98,"yyyy-mm")</x:f>
        <x:v>2027-02</x:v>
      </x:c>
      <x:c r="C98" s="72" t="str">
        <x:v>P90</x:v>
      </x:c>
      <x:c r="D98" s="90" t="n">
        <x:f>INDEX('Calendário'!$C$9:$C$214,MATCH($C98,'Calendário'!$B$9:$B$214,0))</x:f>
        <x:v>46435.5</x:v>
      </x:c>
      <x:c r="E98" s="69" t="str">
        <x:f>INDEX('Calendário'!$F$9:$F$214,MATCH($C98,'Calendário'!$B$9:$B$214,0))</x:f>
        <x:v>Reel</x:v>
      </x:c>
      <x:c r="F98" s="69" t="str">
        <x:f>INDEX('Calendário'!$G$9:$G$214,MATCH($C98,'Calendário'!$B$9:$B$214,0))</x:f>
        <x:v>Exemplo prático: unidades e significado.</x:v>
      </x:c>
      <x:c r="G98" s="78" t="str">
        <x:f>IF(INDEX('Calendário'!$P$9:$P$214,MATCH($C98,'Calendário'!$B$9:$B$214,0))="","",INDEX('Calendário'!$P$9:$P$214,MATCH($C98,'Calendário'!$B$9:$B$214,0)))</x:f>
      </x:c>
      <x:c r="H98" s="75" t="str">
        <x:v>Não iniciada</x:v>
      </x:c>
      <x:c r="I98" s="75" t="str">
        <x:v>Não iniciado</x:v>
      </x:c>
      <x:c r="J98" s="75" t="str">
        <x:v>Pendente</x:v>
      </x:c>
      <x:c r="K98" s="75" t="str">
        <x:v>Pendente</x:v>
      </x:c>
      <x:c r="L98" s="87" t="str">
        <x:f>(COUNTIFS('Calendário'!$B$9:$B$214,$C98,'Calendário'!$J$9:$J$214,"Agendado")+COUNTIFS('Calendário'!$B$9:$B$214,$C98,'Calendário'!$K$9:$K$214,"Agendado")+COUNTIFS('Calendário'!$B$9:$B$214,$C98,'Calendário'!$M$9:$M$214,"Agendado")+COUNTIFS('Calendário'!$B$9:$B$214,$C98,'Calendário'!$N$9:$N$214,"Agendado")+COUNTIFS('Calendário'!$B$9:$B$214,$C98,'Calendário'!$O$9:$O$214,"Agendado")+COUNTIFS('Calendário'!$B$9:$B$214,$C98,'Calendário'!$J$9:$J$214,"Publicado")+COUNTIFS('Calendário'!$B$9:$B$214,$C98,'Calendário'!$K$9:$K$214,"Publicado")+COUNTIFS('Calendário'!$B$9:$B$214,$C98,'Calendário'!$M$9:$M$214,"Publicado")+COUNTIFS('Calendário'!$B$9:$B$214,$C98,'Calendário'!$N$9:$N$214,"Publicado")+COUNTIFS('Calendário'!$B$9:$B$214,$C98,'Calendário'!$O$9:$O$214,"Publicado"))&amp;" de "&amp;(5-COUNTIFS('Calendário'!$B$9:$B$214,$C98,'Calendário'!$N$9:$N$214,"Não se aplica")-COUNTIFS('Calendário'!$B$9:$B$214,$C98,'Calendário'!$O$9:$O$214,"Não se aplica"))</x:f>
        <x:v>0 de 5</x:v>
      </x:c>
      <x:c r="M98" s="87" t="str">
        <x:f>(COUNTIFS('Calendário'!$B$9:$B$214,$C98,'Calendário'!$J$9:$J$214,"Publicado")+COUNTIFS('Calendário'!$B$9:$B$214,$C98,'Calendário'!$K$9:$K$214,"Publicado")+COUNTIFS('Calendário'!$B$9:$B$214,$C98,'Calendário'!$M$9:$M$214,"Publicado")+COUNTIFS('Calendário'!$B$9:$B$214,$C98,'Calendário'!$N$9:$N$214,"Publicado")+COUNTIFS('Calendário'!$B$9:$B$214,$C98,'Calendário'!$O$9:$O$214,"Publicado"))&amp;" de "&amp;(5-COUNTIFS('Calendário'!$B$9:$B$214,$C98,'Calendário'!$N$9:$N$214,"Não se aplica")-COUNTIFS('Calendário'!$B$9:$B$214,$C98,'Calendário'!$O$9:$O$214,"Não se aplica"))</x:f>
        <x:v>0 de 5</x:v>
      </x:c>
      <x:c r="N98" s="75"/>
      <x:c r="O98" s="75"/>
      <x:c r="P98" s="61"/>
    </x:row>
    <x:row r="99" ht="57" customHeight="1">
      <x:c r="A99" s="61"/>
      <x:c r="B99" s="69" t="str">
        <x:f>TEXT(D99,"yyyy-mm")</x:f>
        <x:v>2027-02</x:v>
      </x:c>
      <x:c r="C99" s="72" t="str">
        <x:v>P91</x:v>
      </x:c>
      <x:c r="D99" s="90" t="n">
        <x:f>INDEX('Calendário'!$C$9:$C$214,MATCH($C99,'Calendário'!$B$9:$B$214,0))</x:f>
        <x:v>46437.5</x:v>
      </x:c>
      <x:c r="E99" s="69" t="str">
        <x:f>INDEX('Calendário'!$F$9:$F$214,MATCH($C99,'Calendário'!$B$9:$B$214,0))</x:f>
        <x:v>Carrossel</x:v>
      </x:c>
      <x:c r="F99" s="69" t="str">
        <x:f>INDEX('Calendário'!$G$9:$G$214,MATCH($C99,'Calendário'!$B$9:$B$214,0))</x:f>
        <x:v>Checklist: unidades e significado.</x:v>
      </x:c>
      <x:c r="G99" s="78" t="str">
        <x:f>IF(INDEX('Calendário'!$P$9:$P$214,MATCH($C99,'Calendário'!$B$9:$B$214,0))="","",INDEX('Calendário'!$P$9:$P$214,MATCH($C99,'Calendário'!$B$9:$B$214,0)))</x:f>
      </x:c>
      <x:c r="H99" s="75" t="str">
        <x:v>Não iniciada</x:v>
      </x:c>
      <x:c r="I99" s="75" t="str">
        <x:v>Não se aplica</x:v>
      </x:c>
      <x:c r="J99" s="75" t="str">
        <x:v>Pendente</x:v>
      </x:c>
      <x:c r="K99" s="75" t="str">
        <x:v>Pendente</x:v>
      </x:c>
      <x:c r="L99" s="87" t="str">
        <x:f>(COUNTIFS('Calendário'!$B$9:$B$214,$C99,'Calendário'!$J$9:$J$214,"Agendado")+COUNTIFS('Calendário'!$B$9:$B$214,$C99,'Calendário'!$K$9:$K$214,"Agendado")+COUNTIFS('Calendário'!$B$9:$B$214,$C99,'Calendário'!$M$9:$M$214,"Agendado")+COUNTIFS('Calendário'!$B$9:$B$214,$C99,'Calendário'!$N$9:$N$214,"Agendado")+COUNTIFS('Calendário'!$B$9:$B$214,$C99,'Calendário'!$O$9:$O$214,"Agendado")+COUNTIFS('Calendário'!$B$9:$B$214,$C99,'Calendário'!$J$9:$J$214,"Publicado")+COUNTIFS('Calendário'!$B$9:$B$214,$C99,'Calendário'!$K$9:$K$214,"Publicado")+COUNTIFS('Calendário'!$B$9:$B$214,$C99,'Calendário'!$M$9:$M$214,"Publicado")+COUNTIFS('Calendário'!$B$9:$B$214,$C99,'Calendário'!$N$9:$N$214,"Publicado")+COUNTIFS('Calendário'!$B$9:$B$214,$C99,'Calendário'!$O$9:$O$214,"Publicado"))&amp;" de "&amp;(5-COUNTIFS('Calendário'!$B$9:$B$214,$C99,'Calendário'!$N$9:$N$214,"Não se aplica")-COUNTIFS('Calendário'!$B$9:$B$214,$C99,'Calendário'!$O$9:$O$214,"Não se aplica"))</x:f>
        <x:v>0 de 3</x:v>
      </x:c>
      <x:c r="M99" s="87" t="str">
        <x:f>(COUNTIFS('Calendário'!$B$9:$B$214,$C99,'Calendário'!$J$9:$J$214,"Publicado")+COUNTIFS('Calendário'!$B$9:$B$214,$C99,'Calendário'!$K$9:$K$214,"Publicado")+COUNTIFS('Calendário'!$B$9:$B$214,$C99,'Calendário'!$M$9:$M$214,"Publicado")+COUNTIFS('Calendário'!$B$9:$B$214,$C99,'Calendário'!$N$9:$N$214,"Publicado")+COUNTIFS('Calendário'!$B$9:$B$214,$C99,'Calendário'!$O$9:$O$214,"Publicado"))&amp;" de "&amp;(5-COUNTIFS('Calendário'!$B$9:$B$214,$C99,'Calendário'!$N$9:$N$214,"Não se aplica")-COUNTIFS('Calendário'!$B$9:$B$214,$C99,'Calendário'!$O$9:$O$214,"Não se aplica"))</x:f>
        <x:v>0 de 3</x:v>
      </x:c>
      <x:c r="N99" s="75"/>
      <x:c r="O99" s="75"/>
      <x:c r="P99" s="61"/>
    </x:row>
    <x:row r="100" ht="57" customHeight="1">
      <x:c r="A100" s="61"/>
      <x:c r="B100" s="69" t="str">
        <x:f>TEXT(D100,"yyyy-mm")</x:f>
        <x:v>2027-02</x:v>
      </x:c>
      <x:c r="C100" s="72" t="str">
        <x:v>P92</x:v>
      </x:c>
      <x:c r="D100" s="90" t="n">
        <x:f>INDEX('Calendário'!$C$9:$C$214,MATCH($C100,'Calendário'!$B$9:$B$214,0))</x:f>
        <x:v>46438.5</x:v>
      </x:c>
      <x:c r="E100" s="69" t="str">
        <x:f>INDEX('Calendário'!$F$9:$F$214,MATCH($C100,'Calendário'!$B$9:$B$214,0))</x:f>
        <x:v>Estático</x:v>
      </x:c>
      <x:c r="F100" s="69" t="str">
        <x:f>INDEX('Calendário'!$G$9:$G$214,MATCH($C100,'Calendário'!$B$9:$B$214,0))</x:f>
        <x:v>Qual confusão de unidade você já precisou
esclarecer?</x:v>
      </x:c>
      <x:c r="G100" s="78" t="str">
        <x:f>IF(INDEX('Calendário'!$P$9:$P$214,MATCH($C100,'Calendário'!$B$9:$B$214,0))="","",INDEX('Calendário'!$P$9:$P$214,MATCH($C100,'Calendário'!$B$9:$B$214,0)))</x:f>
      </x:c>
      <x:c r="H100" s="75" t="str">
        <x:v>Não iniciada</x:v>
      </x:c>
      <x:c r="I100" s="75" t="str">
        <x:v>Não se aplica</x:v>
      </x:c>
      <x:c r="J100" s="75" t="str">
        <x:v>Pendente</x:v>
      </x:c>
      <x:c r="K100" s="75" t="str">
        <x:v>Pendente</x:v>
      </x:c>
      <x:c r="L100" s="87" t="str">
        <x:f>(COUNTIFS('Calendário'!$B$9:$B$214,$C100,'Calendário'!$J$9:$J$214,"Agendado")+COUNTIFS('Calendário'!$B$9:$B$214,$C100,'Calendário'!$K$9:$K$214,"Agendado")+COUNTIFS('Calendário'!$B$9:$B$214,$C100,'Calendário'!$M$9:$M$214,"Agendado")+COUNTIFS('Calendário'!$B$9:$B$214,$C100,'Calendário'!$N$9:$N$214,"Agendado")+COUNTIFS('Calendário'!$B$9:$B$214,$C100,'Calendário'!$O$9:$O$214,"Agendado")+COUNTIFS('Calendário'!$B$9:$B$214,$C100,'Calendário'!$J$9:$J$214,"Publicado")+COUNTIFS('Calendário'!$B$9:$B$214,$C100,'Calendário'!$K$9:$K$214,"Publicado")+COUNTIFS('Calendário'!$B$9:$B$214,$C100,'Calendário'!$M$9:$M$214,"Publicado")+COUNTIFS('Calendário'!$B$9:$B$214,$C100,'Calendário'!$N$9:$N$214,"Publicado")+COUNTIFS('Calendário'!$B$9:$B$214,$C100,'Calendário'!$O$9:$O$214,"Publicado"))&amp;" de "&amp;(5-COUNTIFS('Calendário'!$B$9:$B$214,$C100,'Calendário'!$N$9:$N$214,"Não se aplica")-COUNTIFS('Calendário'!$B$9:$B$214,$C100,'Calendário'!$O$9:$O$214,"Não se aplica"))</x:f>
        <x:v>0 de 3</x:v>
      </x:c>
      <x:c r="M100" s="87" t="str">
        <x:f>(COUNTIFS('Calendário'!$B$9:$B$214,$C100,'Calendário'!$J$9:$J$214,"Publicado")+COUNTIFS('Calendário'!$B$9:$B$214,$C100,'Calendário'!$K$9:$K$214,"Publicado")+COUNTIFS('Calendário'!$B$9:$B$214,$C100,'Calendário'!$M$9:$M$214,"Publicado")+COUNTIFS('Calendário'!$B$9:$B$214,$C100,'Calendário'!$N$9:$N$214,"Publicado")+COUNTIFS('Calendário'!$B$9:$B$214,$C100,'Calendário'!$O$9:$O$214,"Publicado"))&amp;" de "&amp;(5-COUNTIFS('Calendário'!$B$9:$B$214,$C100,'Calendário'!$N$9:$N$214,"Não se aplica")-COUNTIFS('Calendário'!$B$9:$B$214,$C100,'Calendário'!$O$9:$O$214,"Não se aplica"))</x:f>
        <x:v>0 de 3</x:v>
      </x:c>
      <x:c r="N100" s="75"/>
      <x:c r="O100" s="75"/>
      <x:c r="P100" s="61"/>
    </x:row>
    <x:row r="101" ht="57" customHeight="1">
      <x:c r="A101" s="61"/>
      <x:c r="B101" s="69" t="str">
        <x:f>TEXT(D101,"yyyy-mm")</x:f>
        <x:v>2027-02</x:v>
      </x:c>
      <x:c r="C101" s="72" t="str">
        <x:v>P93</x:v>
      </x:c>
      <x:c r="D101" s="90" t="n">
        <x:f>INDEX('Calendário'!$C$9:$C$214,MATCH($C101,'Calendário'!$B$9:$B$214,0))</x:f>
        <x:v>46440.5</x:v>
      </x:c>
      <x:c r="E101" s="69" t="str">
        <x:f>INDEX('Calendário'!$F$9:$F$214,MATCH($C101,'Calendário'!$B$9:$B$214,0))</x:f>
        <x:v>Carrossel</x:v>
      </x:c>
      <x:c r="F101" s="69" t="str">
        <x:f>INDEX('Calendário'!$G$9:$G$214,MATCH($C101,'Calendário'!$B$9:$B$214,0))</x:f>
        <x:v>A equipe chama o mesmo elemento pelo
mesmo nome?</x:v>
      </x:c>
      <x:c r="G101" s="78" t="str">
        <x:f>IF(INDEX('Calendário'!$P$9:$P$214,MATCH($C101,'Calendário'!$B$9:$B$214,0))="","",INDEX('Calendário'!$P$9:$P$214,MATCH($C101,'Calendário'!$B$9:$B$214,0)))</x:f>
      </x:c>
      <x:c r="H101" s="75" t="str">
        <x:v>Não iniciada</x:v>
      </x:c>
      <x:c r="I101" s="75" t="str">
        <x:v>Não se aplica</x:v>
      </x:c>
      <x:c r="J101" s="75" t="str">
        <x:v>Pendente</x:v>
      </x:c>
      <x:c r="K101" s="75" t="str">
        <x:v>Pendente</x:v>
      </x:c>
      <x:c r="L101" s="87" t="str">
        <x:f>(COUNTIFS('Calendário'!$B$9:$B$214,$C101,'Calendário'!$J$9:$J$214,"Agendado")+COUNTIFS('Calendário'!$B$9:$B$214,$C101,'Calendário'!$K$9:$K$214,"Agendado")+COUNTIFS('Calendário'!$B$9:$B$214,$C101,'Calendário'!$M$9:$M$214,"Agendado")+COUNTIFS('Calendário'!$B$9:$B$214,$C101,'Calendário'!$N$9:$N$214,"Agendado")+COUNTIFS('Calendário'!$B$9:$B$214,$C101,'Calendário'!$O$9:$O$214,"Agendado")+COUNTIFS('Calendário'!$B$9:$B$214,$C101,'Calendário'!$J$9:$J$214,"Publicado")+COUNTIFS('Calendário'!$B$9:$B$214,$C101,'Calendário'!$K$9:$K$214,"Publicado")+COUNTIFS('Calendário'!$B$9:$B$214,$C101,'Calendário'!$M$9:$M$214,"Publicado")+COUNTIFS('Calendário'!$B$9:$B$214,$C101,'Calendário'!$N$9:$N$214,"Publicado")+COUNTIFS('Calendário'!$B$9:$B$214,$C101,'Calendário'!$O$9:$O$214,"Publicado"))&amp;" de "&amp;(5-COUNTIFS('Calendário'!$B$9:$B$214,$C101,'Calendário'!$N$9:$N$214,"Não se aplica")-COUNTIFS('Calendário'!$B$9:$B$214,$C101,'Calendário'!$O$9:$O$214,"Não se aplica"))</x:f>
        <x:v>0 de 3</x:v>
      </x:c>
      <x:c r="M101" s="87" t="str">
        <x:f>(COUNTIFS('Calendário'!$B$9:$B$214,$C101,'Calendário'!$J$9:$J$214,"Publicado")+COUNTIFS('Calendário'!$B$9:$B$214,$C101,'Calendário'!$K$9:$K$214,"Publicado")+COUNTIFS('Calendário'!$B$9:$B$214,$C101,'Calendário'!$M$9:$M$214,"Publicado")+COUNTIFS('Calendário'!$B$9:$B$214,$C101,'Calendário'!$N$9:$N$214,"Publicado")+COUNTIFS('Calendário'!$B$9:$B$214,$C101,'Calendário'!$O$9:$O$214,"Publicado"))&amp;" de "&amp;(5-COUNTIFS('Calendário'!$B$9:$B$214,$C101,'Calendário'!$N$9:$N$214,"Não se aplica")-COUNTIFS('Calendário'!$B$9:$B$214,$C101,'Calendário'!$O$9:$O$214,"Não se aplica"))</x:f>
        <x:v>0 de 3</x:v>
      </x:c>
      <x:c r="N101" s="75"/>
      <x:c r="O101" s="75"/>
      <x:c r="P101" s="61"/>
    </x:row>
    <x:row r="102" ht="57" customHeight="1">
      <x:c r="A102" s="61"/>
      <x:c r="B102" s="69" t="str">
        <x:f>TEXT(D102,"yyyy-mm")</x:f>
        <x:v>2027-02</x:v>
      </x:c>
      <x:c r="C102" s="72" t="str">
        <x:v>P94</x:v>
      </x:c>
      <x:c r="D102" s="90" t="n">
        <x:f>INDEX('Calendário'!$C$9:$C$214,MATCH($C102,'Calendário'!$B$9:$B$214,0))</x:f>
        <x:v>46442.5</x:v>
      </x:c>
      <x:c r="E102" s="69" t="str">
        <x:f>INDEX('Calendário'!$F$9:$F$214,MATCH($C102,'Calendário'!$B$9:$B$214,0))</x:f>
        <x:v>Reel</x:v>
      </x:c>
      <x:c r="F102" s="69" t="str">
        <x:f>INDEX('Calendário'!$G$9:$G$214,MATCH($C102,'Calendário'!$B$9:$B$214,0))</x:f>
        <x:v>Exemplo prático: classificação dos
elementos.</x:v>
      </x:c>
      <x:c r="G102" s="78" t="str">
        <x:f>IF(INDEX('Calendário'!$P$9:$P$214,MATCH($C102,'Calendário'!$B$9:$B$214,0))="","",INDEX('Calendário'!$P$9:$P$214,MATCH($C102,'Calendário'!$B$9:$B$214,0)))</x:f>
      </x:c>
      <x:c r="H102" s="75" t="str">
        <x:v>Não iniciada</x:v>
      </x:c>
      <x:c r="I102" s="75" t="str">
        <x:v>Não iniciado</x:v>
      </x:c>
      <x:c r="J102" s="75" t="str">
        <x:v>Pendente</x:v>
      </x:c>
      <x:c r="K102" s="75" t="str">
        <x:v>Pendente</x:v>
      </x:c>
      <x:c r="L102" s="87" t="str">
        <x:f>(COUNTIFS('Calendário'!$B$9:$B$214,$C102,'Calendário'!$J$9:$J$214,"Agendado")+COUNTIFS('Calendário'!$B$9:$B$214,$C102,'Calendário'!$K$9:$K$214,"Agendado")+COUNTIFS('Calendário'!$B$9:$B$214,$C102,'Calendário'!$M$9:$M$214,"Agendado")+COUNTIFS('Calendário'!$B$9:$B$214,$C102,'Calendário'!$N$9:$N$214,"Agendado")+COUNTIFS('Calendário'!$B$9:$B$214,$C102,'Calendário'!$O$9:$O$214,"Agendado")+COUNTIFS('Calendário'!$B$9:$B$214,$C102,'Calendário'!$J$9:$J$214,"Publicado")+COUNTIFS('Calendário'!$B$9:$B$214,$C102,'Calendário'!$K$9:$K$214,"Publicado")+COUNTIFS('Calendário'!$B$9:$B$214,$C102,'Calendário'!$M$9:$M$214,"Publicado")+COUNTIFS('Calendário'!$B$9:$B$214,$C102,'Calendário'!$N$9:$N$214,"Publicado")+COUNTIFS('Calendário'!$B$9:$B$214,$C102,'Calendário'!$O$9:$O$214,"Publicado"))&amp;" de "&amp;(5-COUNTIFS('Calendário'!$B$9:$B$214,$C102,'Calendário'!$N$9:$N$214,"Não se aplica")-COUNTIFS('Calendário'!$B$9:$B$214,$C102,'Calendário'!$O$9:$O$214,"Não se aplica"))</x:f>
        <x:v>0 de 5</x:v>
      </x:c>
      <x:c r="M102" s="87" t="str">
        <x:f>(COUNTIFS('Calendário'!$B$9:$B$214,$C102,'Calendário'!$J$9:$J$214,"Publicado")+COUNTIFS('Calendário'!$B$9:$B$214,$C102,'Calendário'!$K$9:$K$214,"Publicado")+COUNTIFS('Calendário'!$B$9:$B$214,$C102,'Calendário'!$M$9:$M$214,"Publicado")+COUNTIFS('Calendário'!$B$9:$B$214,$C102,'Calendário'!$N$9:$N$214,"Publicado")+COUNTIFS('Calendário'!$B$9:$B$214,$C102,'Calendário'!$O$9:$O$214,"Publicado"))&amp;" de "&amp;(5-COUNTIFS('Calendário'!$B$9:$B$214,$C102,'Calendário'!$N$9:$N$214,"Não se aplica")-COUNTIFS('Calendário'!$B$9:$B$214,$C102,'Calendário'!$O$9:$O$214,"Não se aplica"))</x:f>
        <x:v>0 de 5</x:v>
      </x:c>
      <x:c r="N102" s="75"/>
      <x:c r="O102" s="75"/>
      <x:c r="P102" s="61"/>
    </x:row>
    <x:row r="103" ht="57" customHeight="1">
      <x:c r="A103" s="61"/>
      <x:c r="B103" s="69" t="str">
        <x:f>TEXT(D103,"yyyy-mm")</x:f>
        <x:v>2027-02</x:v>
      </x:c>
      <x:c r="C103" s="72" t="str">
        <x:v>P95</x:v>
      </x:c>
      <x:c r="D103" s="90" t="n">
        <x:f>INDEX('Calendário'!$C$9:$C$214,MATCH($C103,'Calendário'!$B$9:$B$214,0))</x:f>
        <x:v>46444.5</x:v>
      </x:c>
      <x:c r="E103" s="69" t="str">
        <x:f>INDEX('Calendário'!$F$9:$F$214,MATCH($C103,'Calendário'!$B$9:$B$214,0))</x:f>
        <x:v>Carrossel</x:v>
      </x:c>
      <x:c r="F103" s="69" t="str">
        <x:f>INDEX('Calendário'!$G$9:$G$214,MATCH($C103,'Calendário'!$B$9:$B$214,0))</x:f>
        <x:v>Checklist: classificação dos elementos.</x:v>
      </x:c>
      <x:c r="G103" s="78" t="str">
        <x:f>IF(INDEX('Calendário'!$P$9:$P$214,MATCH($C103,'Calendário'!$B$9:$B$214,0))="","",INDEX('Calendário'!$P$9:$P$214,MATCH($C103,'Calendário'!$B$9:$B$214,0)))</x:f>
      </x:c>
      <x:c r="H103" s="75" t="str">
        <x:v>Não iniciada</x:v>
      </x:c>
      <x:c r="I103" s="75" t="str">
        <x:v>Não se aplica</x:v>
      </x:c>
      <x:c r="J103" s="75" t="str">
        <x:v>Pendente</x:v>
      </x:c>
      <x:c r="K103" s="75" t="str">
        <x:v>Pendente</x:v>
      </x:c>
      <x:c r="L103" s="87" t="str">
        <x:f>(COUNTIFS('Calendário'!$B$9:$B$214,$C103,'Calendário'!$J$9:$J$214,"Agendado")+COUNTIFS('Calendário'!$B$9:$B$214,$C103,'Calendário'!$K$9:$K$214,"Agendado")+COUNTIFS('Calendário'!$B$9:$B$214,$C103,'Calendário'!$M$9:$M$214,"Agendado")+COUNTIFS('Calendário'!$B$9:$B$214,$C103,'Calendário'!$N$9:$N$214,"Agendado")+COUNTIFS('Calendário'!$B$9:$B$214,$C103,'Calendário'!$O$9:$O$214,"Agendado")+COUNTIFS('Calendário'!$B$9:$B$214,$C103,'Calendário'!$J$9:$J$214,"Publicado")+COUNTIFS('Calendário'!$B$9:$B$214,$C103,'Calendário'!$K$9:$K$214,"Publicado")+COUNTIFS('Calendário'!$B$9:$B$214,$C103,'Calendário'!$M$9:$M$214,"Publicado")+COUNTIFS('Calendário'!$B$9:$B$214,$C103,'Calendário'!$N$9:$N$214,"Publicado")+COUNTIFS('Calendário'!$B$9:$B$214,$C103,'Calendário'!$O$9:$O$214,"Publicado"))&amp;" de "&amp;(5-COUNTIFS('Calendário'!$B$9:$B$214,$C103,'Calendário'!$N$9:$N$214,"Não se aplica")-COUNTIFS('Calendário'!$B$9:$B$214,$C103,'Calendário'!$O$9:$O$214,"Não se aplica"))</x:f>
        <x:v>0 de 3</x:v>
      </x:c>
      <x:c r="M103" s="87" t="str">
        <x:f>(COUNTIFS('Calendário'!$B$9:$B$214,$C103,'Calendário'!$J$9:$J$214,"Publicado")+COUNTIFS('Calendário'!$B$9:$B$214,$C103,'Calendário'!$K$9:$K$214,"Publicado")+COUNTIFS('Calendário'!$B$9:$B$214,$C103,'Calendário'!$M$9:$M$214,"Publicado")+COUNTIFS('Calendário'!$B$9:$B$214,$C103,'Calendário'!$N$9:$N$214,"Publicado")+COUNTIFS('Calendário'!$B$9:$B$214,$C103,'Calendário'!$O$9:$O$214,"Publicado"))&amp;" de "&amp;(5-COUNTIFS('Calendário'!$B$9:$B$214,$C103,'Calendário'!$N$9:$N$214,"Não se aplica")-COUNTIFS('Calendário'!$B$9:$B$214,$C103,'Calendário'!$O$9:$O$214,"Não se aplica"))</x:f>
        <x:v>0 de 3</x:v>
      </x:c>
      <x:c r="N103" s="75"/>
      <x:c r="O103" s="75"/>
      <x:c r="P103" s="61"/>
    </x:row>
    <x:row r="104" ht="57" customHeight="1">
      <x:c r="A104" s="61"/>
      <x:c r="B104" s="69" t="str">
        <x:f>TEXT(D104,"yyyy-mm")</x:f>
        <x:v>2027-02</x:v>
      </x:c>
      <x:c r="C104" s="72" t="str">
        <x:v>P96</x:v>
      </x:c>
      <x:c r="D104" s="90" t="n">
        <x:f>INDEX('Calendário'!$C$9:$C$214,MATCH($C104,'Calendário'!$B$9:$B$214,0))</x:f>
        <x:v>46445.5</x:v>
      </x:c>
      <x:c r="E104" s="69" t="str">
        <x:f>INDEX('Calendário'!$F$9:$F$214,MATCH($C104,'Calendário'!$B$9:$B$214,0))</x:f>
        <x:v>Estático</x:v>
      </x:c>
      <x:c r="F104" s="69" t="str">
        <x:f>INDEX('Calendário'!$G$9:$G$214,MATCH($C104,'Calendário'!$B$9:$B$214,0))</x:f>
        <x:v>Converse com a Arxis sobre classificação
dos elementos.</x:v>
      </x:c>
      <x:c r="G104" s="78" t="str">
        <x:f>IF(INDEX('Calendário'!$P$9:$P$214,MATCH($C104,'Calendário'!$B$9:$B$214,0))="","",INDEX('Calendário'!$P$9:$P$214,MATCH($C104,'Calendário'!$B$9:$B$214,0)))</x:f>
      </x:c>
      <x:c r="H104" s="75" t="str">
        <x:v>Não iniciada</x:v>
      </x:c>
      <x:c r="I104" s="75" t="str">
        <x:v>Não se aplica</x:v>
      </x:c>
      <x:c r="J104" s="75" t="str">
        <x:v>Pendente</x:v>
      </x:c>
      <x:c r="K104" s="75" t="str">
        <x:v>Pendente</x:v>
      </x:c>
      <x:c r="L104" s="87" t="str">
        <x:f>(COUNTIFS('Calendário'!$B$9:$B$214,$C104,'Calendário'!$J$9:$J$214,"Agendado")+COUNTIFS('Calendário'!$B$9:$B$214,$C104,'Calendário'!$K$9:$K$214,"Agendado")+COUNTIFS('Calendário'!$B$9:$B$214,$C104,'Calendário'!$M$9:$M$214,"Agendado")+COUNTIFS('Calendário'!$B$9:$B$214,$C104,'Calendário'!$N$9:$N$214,"Agendado")+COUNTIFS('Calendário'!$B$9:$B$214,$C104,'Calendário'!$O$9:$O$214,"Agendado")+COUNTIFS('Calendário'!$B$9:$B$214,$C104,'Calendário'!$J$9:$J$214,"Publicado")+COUNTIFS('Calendário'!$B$9:$B$214,$C104,'Calendário'!$K$9:$K$214,"Publicado")+COUNTIFS('Calendário'!$B$9:$B$214,$C104,'Calendário'!$M$9:$M$214,"Publicado")+COUNTIFS('Calendário'!$B$9:$B$214,$C104,'Calendário'!$N$9:$N$214,"Publicado")+COUNTIFS('Calendário'!$B$9:$B$214,$C104,'Calendário'!$O$9:$O$214,"Publicado"))&amp;" de "&amp;(5-COUNTIFS('Calendário'!$B$9:$B$214,$C104,'Calendário'!$N$9:$N$214,"Não se aplica")-COUNTIFS('Calendário'!$B$9:$B$214,$C104,'Calendário'!$O$9:$O$214,"Não se aplica"))</x:f>
        <x:v>0 de 3</x:v>
      </x:c>
      <x:c r="M104" s="87" t="str">
        <x:f>(COUNTIFS('Calendário'!$B$9:$B$214,$C104,'Calendário'!$J$9:$J$214,"Publicado")+COUNTIFS('Calendário'!$B$9:$B$214,$C104,'Calendário'!$K$9:$K$214,"Publicado")+COUNTIFS('Calendário'!$B$9:$B$214,$C104,'Calendário'!$M$9:$M$214,"Publicado")+COUNTIFS('Calendário'!$B$9:$B$214,$C104,'Calendário'!$N$9:$N$214,"Publicado")+COUNTIFS('Calendário'!$B$9:$B$214,$C104,'Calendário'!$O$9:$O$214,"Publicado"))&amp;" de "&amp;(5-COUNTIFS('Calendário'!$B$9:$B$214,$C104,'Calendário'!$N$9:$N$214,"Não se aplica")-COUNTIFS('Calendário'!$B$9:$B$214,$C104,'Calendário'!$O$9:$O$214,"Não se aplica"))</x:f>
        <x:v>0 de 3</x:v>
      </x:c>
      <x:c r="N104" s="75"/>
      <x:c r="O104" s="75"/>
      <x:c r="P104" s="61"/>
    </x:row>
    <x:row r="105" ht="57" customHeight="1">
      <x:c r="A105" s="61"/>
      <x:c r="B105" s="69" t="str">
        <x:f>TEXT(D105,"yyyy-mm")</x:f>
        <x:v>2027-03</x:v>
      </x:c>
      <x:c r="C105" s="72" t="str">
        <x:v>P97</x:v>
      </x:c>
      <x:c r="D105" s="90" t="n">
        <x:f>INDEX('Calendário'!$C$9:$C$214,MATCH($C105,'Calendário'!$B$9:$B$214,0))</x:f>
        <x:v>46447.5</x:v>
      </x:c>
      <x:c r="E105" s="69" t="str">
        <x:f>INDEX('Calendário'!$F$9:$F$214,MATCH($C105,'Calendário'!$B$9:$B$214,0))</x:f>
        <x:v>Carrossel</x:v>
      </x:c>
      <x:c r="F105" s="69" t="str">
        <x:f>INDEX('Calendário'!$G$9:$G$214,MATCH($C105,'Calendário'!$B$9:$B$214,0))</x:f>
        <x:v>O que conferir em uma troca com IFC?</x:v>
      </x:c>
      <x:c r="G105" s="78" t="str">
        <x:f>IF(INDEX('Calendário'!$P$9:$P$214,MATCH($C105,'Calendário'!$B$9:$B$214,0))="","",INDEX('Calendário'!$P$9:$P$214,MATCH($C105,'Calendário'!$B$9:$B$214,0)))</x:f>
      </x:c>
      <x:c r="H105" s="75" t="str">
        <x:v>Não iniciada</x:v>
      </x:c>
      <x:c r="I105" s="75" t="str">
        <x:v>Não se aplica</x:v>
      </x:c>
      <x:c r="J105" s="75" t="str">
        <x:v>Pendente</x:v>
      </x:c>
      <x:c r="K105" s="75" t="str">
        <x:v>Pendente</x:v>
      </x:c>
      <x:c r="L105" s="87" t="str">
        <x:f>(COUNTIFS('Calendário'!$B$9:$B$214,$C105,'Calendário'!$J$9:$J$214,"Agendado")+COUNTIFS('Calendário'!$B$9:$B$214,$C105,'Calendário'!$K$9:$K$214,"Agendado")+COUNTIFS('Calendário'!$B$9:$B$214,$C105,'Calendário'!$M$9:$M$214,"Agendado")+COUNTIFS('Calendário'!$B$9:$B$214,$C105,'Calendário'!$N$9:$N$214,"Agendado")+COUNTIFS('Calendário'!$B$9:$B$214,$C105,'Calendário'!$O$9:$O$214,"Agendado")+COUNTIFS('Calendário'!$B$9:$B$214,$C105,'Calendário'!$J$9:$J$214,"Publicado")+COUNTIFS('Calendário'!$B$9:$B$214,$C105,'Calendário'!$K$9:$K$214,"Publicado")+COUNTIFS('Calendário'!$B$9:$B$214,$C105,'Calendário'!$M$9:$M$214,"Publicado")+COUNTIFS('Calendário'!$B$9:$B$214,$C105,'Calendário'!$N$9:$N$214,"Publicado")+COUNTIFS('Calendário'!$B$9:$B$214,$C105,'Calendário'!$O$9:$O$214,"Publicado"))&amp;" de "&amp;(5-COUNTIFS('Calendário'!$B$9:$B$214,$C105,'Calendário'!$N$9:$N$214,"Não se aplica")-COUNTIFS('Calendário'!$B$9:$B$214,$C105,'Calendário'!$O$9:$O$214,"Não se aplica"))</x:f>
        <x:v>0 de 3</x:v>
      </x:c>
      <x:c r="M105" s="87" t="str">
        <x:f>(COUNTIFS('Calendário'!$B$9:$B$214,$C105,'Calendário'!$J$9:$J$214,"Publicado")+COUNTIFS('Calendário'!$B$9:$B$214,$C105,'Calendário'!$K$9:$K$214,"Publicado")+COUNTIFS('Calendário'!$B$9:$B$214,$C105,'Calendário'!$M$9:$M$214,"Publicado")+COUNTIFS('Calendário'!$B$9:$B$214,$C105,'Calendário'!$N$9:$N$214,"Publicado")+COUNTIFS('Calendário'!$B$9:$B$214,$C105,'Calendário'!$O$9:$O$214,"Publicado"))&amp;" de "&amp;(5-COUNTIFS('Calendário'!$B$9:$B$214,$C105,'Calendário'!$N$9:$N$214,"Não se aplica")-COUNTIFS('Calendário'!$B$9:$B$214,$C105,'Calendário'!$O$9:$O$214,"Não se aplica"))</x:f>
        <x:v>0 de 3</x:v>
      </x:c>
      <x:c r="N105" s="75"/>
      <x:c r="O105" s="75"/>
      <x:c r="P105" s="61"/>
    </x:row>
    <x:row r="106" ht="57" customHeight="1">
      <x:c r="A106" s="61"/>
      <x:c r="B106" s="69" t="str">
        <x:f>TEXT(D106,"yyyy-mm")</x:f>
        <x:v>2027-03</x:v>
      </x:c>
      <x:c r="C106" s="72" t="str">
        <x:v>P98</x:v>
      </x:c>
      <x:c r="D106" s="90" t="n">
        <x:f>INDEX('Calendário'!$C$9:$C$214,MATCH($C106,'Calendário'!$B$9:$B$214,0))</x:f>
        <x:v>46449.5</x:v>
      </x:c>
      <x:c r="E106" s="69" t="str">
        <x:f>INDEX('Calendário'!$F$9:$F$214,MATCH($C106,'Calendário'!$B$9:$B$214,0))</x:f>
        <x:v>Reel</x:v>
      </x:c>
      <x:c r="F106" s="69" t="str">
        <x:f>INDEX('Calendário'!$G$9:$G$214,MATCH($C106,'Calendário'!$B$9:$B$214,0))</x:f>
        <x:v>Exemplo prático: troca de modelos IFC.</x:v>
      </x:c>
      <x:c r="G106" s="78" t="str">
        <x:f>IF(INDEX('Calendário'!$P$9:$P$214,MATCH($C106,'Calendário'!$B$9:$B$214,0))="","",INDEX('Calendário'!$P$9:$P$214,MATCH($C106,'Calendário'!$B$9:$B$214,0)))</x:f>
      </x:c>
      <x:c r="H106" s="75" t="str">
        <x:v>Não iniciada</x:v>
      </x:c>
      <x:c r="I106" s="75" t="str">
        <x:v>Não iniciado</x:v>
      </x:c>
      <x:c r="J106" s="75" t="str">
        <x:v>Pendente</x:v>
      </x:c>
      <x:c r="K106" s="75" t="str">
        <x:v>Pendente</x:v>
      </x:c>
      <x:c r="L106" s="87" t="str">
        <x:f>(COUNTIFS('Calendário'!$B$9:$B$214,$C106,'Calendário'!$J$9:$J$214,"Agendado")+COUNTIFS('Calendário'!$B$9:$B$214,$C106,'Calendário'!$K$9:$K$214,"Agendado")+COUNTIFS('Calendário'!$B$9:$B$214,$C106,'Calendário'!$M$9:$M$214,"Agendado")+COUNTIFS('Calendário'!$B$9:$B$214,$C106,'Calendário'!$N$9:$N$214,"Agendado")+COUNTIFS('Calendário'!$B$9:$B$214,$C106,'Calendário'!$O$9:$O$214,"Agendado")+COUNTIFS('Calendário'!$B$9:$B$214,$C106,'Calendário'!$J$9:$J$214,"Publicado")+COUNTIFS('Calendário'!$B$9:$B$214,$C106,'Calendário'!$K$9:$K$214,"Publicado")+COUNTIFS('Calendário'!$B$9:$B$214,$C106,'Calendário'!$M$9:$M$214,"Publicado")+COUNTIFS('Calendário'!$B$9:$B$214,$C106,'Calendário'!$N$9:$N$214,"Publicado")+COUNTIFS('Calendário'!$B$9:$B$214,$C106,'Calendário'!$O$9:$O$214,"Publicado"))&amp;" de "&amp;(5-COUNTIFS('Calendário'!$B$9:$B$214,$C106,'Calendário'!$N$9:$N$214,"Não se aplica")-COUNTIFS('Calendário'!$B$9:$B$214,$C106,'Calendário'!$O$9:$O$214,"Não se aplica"))</x:f>
        <x:v>0 de 5</x:v>
      </x:c>
      <x:c r="M106" s="87" t="str">
        <x:f>(COUNTIFS('Calendário'!$B$9:$B$214,$C106,'Calendário'!$J$9:$J$214,"Publicado")+COUNTIFS('Calendário'!$B$9:$B$214,$C106,'Calendário'!$K$9:$K$214,"Publicado")+COUNTIFS('Calendário'!$B$9:$B$214,$C106,'Calendário'!$M$9:$M$214,"Publicado")+COUNTIFS('Calendário'!$B$9:$B$214,$C106,'Calendário'!$N$9:$N$214,"Publicado")+COUNTIFS('Calendário'!$B$9:$B$214,$C106,'Calendário'!$O$9:$O$214,"Publicado"))&amp;" de "&amp;(5-COUNTIFS('Calendário'!$B$9:$B$214,$C106,'Calendário'!$N$9:$N$214,"Não se aplica")-COUNTIFS('Calendário'!$B$9:$B$214,$C106,'Calendário'!$O$9:$O$214,"Não se aplica"))</x:f>
        <x:v>0 de 5</x:v>
      </x:c>
      <x:c r="N106" s="75"/>
      <x:c r="O106" s="75"/>
      <x:c r="P106" s="61"/>
    </x:row>
    <x:row r="107" ht="57" customHeight="1">
      <x:c r="A107" s="61"/>
      <x:c r="B107" s="69" t="str">
        <x:f>TEXT(D107,"yyyy-mm")</x:f>
        <x:v>2027-03</x:v>
      </x:c>
      <x:c r="C107" s="72" t="str">
        <x:v>P99</x:v>
      </x:c>
      <x:c r="D107" s="90" t="n">
        <x:f>INDEX('Calendário'!$C$9:$C$214,MATCH($C107,'Calendário'!$B$9:$B$214,0))</x:f>
        <x:v>46451.5</x:v>
      </x:c>
      <x:c r="E107" s="69" t="str">
        <x:f>INDEX('Calendário'!$F$9:$F$214,MATCH($C107,'Calendário'!$B$9:$B$214,0))</x:f>
        <x:v>Carrossel</x:v>
      </x:c>
      <x:c r="F107" s="69" t="str">
        <x:f>INDEX('Calendário'!$G$9:$G$214,MATCH($C107,'Calendário'!$B$9:$B$214,0))</x:f>
        <x:v>Checklist: troca de modelos IFC.</x:v>
      </x:c>
      <x:c r="G107" s="78" t="str">
        <x:f>IF(INDEX('Calendário'!$P$9:$P$214,MATCH($C107,'Calendário'!$B$9:$B$214,0))="","",INDEX('Calendário'!$P$9:$P$214,MATCH($C107,'Calendário'!$B$9:$B$214,0)))</x:f>
      </x:c>
      <x:c r="H107" s="75" t="str">
        <x:v>Não iniciada</x:v>
      </x:c>
      <x:c r="I107" s="75" t="str">
        <x:v>Não se aplica</x:v>
      </x:c>
      <x:c r="J107" s="75" t="str">
        <x:v>Pendente</x:v>
      </x:c>
      <x:c r="K107" s="75" t="str">
        <x:v>Pendente</x:v>
      </x:c>
      <x:c r="L107" s="87" t="str">
        <x:f>(COUNTIFS('Calendário'!$B$9:$B$214,$C107,'Calendário'!$J$9:$J$214,"Agendado")+COUNTIFS('Calendário'!$B$9:$B$214,$C107,'Calendário'!$K$9:$K$214,"Agendado")+COUNTIFS('Calendário'!$B$9:$B$214,$C107,'Calendário'!$M$9:$M$214,"Agendado")+COUNTIFS('Calendário'!$B$9:$B$214,$C107,'Calendário'!$N$9:$N$214,"Agendado")+COUNTIFS('Calendário'!$B$9:$B$214,$C107,'Calendário'!$O$9:$O$214,"Agendado")+COUNTIFS('Calendário'!$B$9:$B$214,$C107,'Calendário'!$J$9:$J$214,"Publicado")+COUNTIFS('Calendário'!$B$9:$B$214,$C107,'Calendário'!$K$9:$K$214,"Publicado")+COUNTIFS('Calendário'!$B$9:$B$214,$C107,'Calendário'!$M$9:$M$214,"Publicado")+COUNTIFS('Calendário'!$B$9:$B$214,$C107,'Calendário'!$N$9:$N$214,"Publicado")+COUNTIFS('Calendário'!$B$9:$B$214,$C107,'Calendário'!$O$9:$O$214,"Publicado"))&amp;" de "&amp;(5-COUNTIFS('Calendário'!$B$9:$B$214,$C107,'Calendário'!$N$9:$N$214,"Não se aplica")-COUNTIFS('Calendário'!$B$9:$B$214,$C107,'Calendário'!$O$9:$O$214,"Não se aplica"))</x:f>
        <x:v>0 de 3</x:v>
      </x:c>
      <x:c r="M107" s="87" t="str">
        <x:f>(COUNTIFS('Calendário'!$B$9:$B$214,$C107,'Calendário'!$J$9:$J$214,"Publicado")+COUNTIFS('Calendário'!$B$9:$B$214,$C107,'Calendário'!$K$9:$K$214,"Publicado")+COUNTIFS('Calendário'!$B$9:$B$214,$C107,'Calendário'!$M$9:$M$214,"Publicado")+COUNTIFS('Calendário'!$B$9:$B$214,$C107,'Calendário'!$N$9:$N$214,"Publicado")+COUNTIFS('Calendário'!$B$9:$B$214,$C107,'Calendário'!$O$9:$O$214,"Publicado"))&amp;" de "&amp;(5-COUNTIFS('Calendário'!$B$9:$B$214,$C107,'Calendário'!$N$9:$N$214,"Não se aplica")-COUNTIFS('Calendário'!$B$9:$B$214,$C107,'Calendário'!$O$9:$O$214,"Não se aplica"))</x:f>
        <x:v>0 de 3</x:v>
      </x:c>
      <x:c r="N107" s="75"/>
      <x:c r="O107" s="75"/>
      <x:c r="P107" s="61"/>
    </x:row>
    <x:row r="108" ht="57" customHeight="1">
      <x:c r="A108" s="61"/>
      <x:c r="B108" s="69" t="str">
        <x:f>TEXT(D108,"yyyy-mm")</x:f>
        <x:v>2027-03</x:v>
      </x:c>
      <x:c r="C108" s="72" t="str">
        <x:v>P100</x:v>
      </x:c>
      <x:c r="D108" s="90" t="n">
        <x:f>INDEX('Calendário'!$C$9:$C$214,MATCH($C108,'Calendário'!$B$9:$B$214,0))</x:f>
        <x:v>46452.5</x:v>
      </x:c>
      <x:c r="E108" s="69" t="str">
        <x:f>INDEX('Calendário'!$F$9:$F$214,MATCH($C108,'Calendário'!$B$9:$B$214,0))</x:f>
        <x:v>Estático</x:v>
      </x:c>
      <x:c r="F108" s="69" t="str">
        <x:f>INDEX('Calendário'!$G$9:$G$214,MATCH($C108,'Calendário'!$B$9:$B$214,0))</x:f>
        <x:v>O que você confere primeiro depois de
receber um IFC?</x:v>
      </x:c>
      <x:c r="G108" s="78" t="str">
        <x:f>IF(INDEX('Calendário'!$P$9:$P$214,MATCH($C108,'Calendário'!$B$9:$B$214,0))="","",INDEX('Calendário'!$P$9:$P$214,MATCH($C108,'Calendário'!$B$9:$B$214,0)))</x:f>
      </x:c>
      <x:c r="H108" s="75" t="str">
        <x:v>Não iniciada</x:v>
      </x:c>
      <x:c r="I108" s="75" t="str">
        <x:v>Não se aplica</x:v>
      </x:c>
      <x:c r="J108" s="75" t="str">
        <x:v>Pendente</x:v>
      </x:c>
      <x:c r="K108" s="75" t="str">
        <x:v>Pendente</x:v>
      </x:c>
      <x:c r="L108" s="87" t="str">
        <x:f>(COUNTIFS('Calendário'!$B$9:$B$214,$C108,'Calendário'!$J$9:$J$214,"Agendado")+COUNTIFS('Calendário'!$B$9:$B$214,$C108,'Calendário'!$K$9:$K$214,"Agendado")+COUNTIFS('Calendário'!$B$9:$B$214,$C108,'Calendário'!$M$9:$M$214,"Agendado")+COUNTIFS('Calendário'!$B$9:$B$214,$C108,'Calendário'!$N$9:$N$214,"Agendado")+COUNTIFS('Calendário'!$B$9:$B$214,$C108,'Calendário'!$O$9:$O$214,"Agendado")+COUNTIFS('Calendário'!$B$9:$B$214,$C108,'Calendário'!$J$9:$J$214,"Publicado")+COUNTIFS('Calendário'!$B$9:$B$214,$C108,'Calendário'!$K$9:$K$214,"Publicado")+COUNTIFS('Calendário'!$B$9:$B$214,$C108,'Calendário'!$M$9:$M$214,"Publicado")+COUNTIFS('Calendário'!$B$9:$B$214,$C108,'Calendário'!$N$9:$N$214,"Publicado")+COUNTIFS('Calendário'!$B$9:$B$214,$C108,'Calendário'!$O$9:$O$214,"Publicado"))&amp;" de "&amp;(5-COUNTIFS('Calendário'!$B$9:$B$214,$C108,'Calendário'!$N$9:$N$214,"Não se aplica")-COUNTIFS('Calendário'!$B$9:$B$214,$C108,'Calendário'!$O$9:$O$214,"Não se aplica"))</x:f>
        <x:v>0 de 3</x:v>
      </x:c>
      <x:c r="M108" s="87" t="str">
        <x:f>(COUNTIFS('Calendário'!$B$9:$B$214,$C108,'Calendário'!$J$9:$J$214,"Publicado")+COUNTIFS('Calendário'!$B$9:$B$214,$C108,'Calendário'!$K$9:$K$214,"Publicado")+COUNTIFS('Calendário'!$B$9:$B$214,$C108,'Calendário'!$M$9:$M$214,"Publicado")+COUNTIFS('Calendário'!$B$9:$B$214,$C108,'Calendário'!$N$9:$N$214,"Publicado")+COUNTIFS('Calendário'!$B$9:$B$214,$C108,'Calendário'!$O$9:$O$214,"Publicado"))&amp;" de "&amp;(5-COUNTIFS('Calendário'!$B$9:$B$214,$C108,'Calendário'!$N$9:$N$214,"Não se aplica")-COUNTIFS('Calendário'!$B$9:$B$214,$C108,'Calendário'!$O$9:$O$214,"Não se aplica"))</x:f>
        <x:v>0 de 3</x:v>
      </x:c>
      <x:c r="N108" s="75"/>
      <x:c r="O108" s="75"/>
      <x:c r="P108" s="61"/>
    </x:row>
    <x:row r="109" ht="57" customHeight="1">
      <x:c r="A109" s="61"/>
      <x:c r="B109" s="69" t="str">
        <x:f>TEXT(D109,"yyyy-mm")</x:f>
        <x:v>2027-03</x:v>
      </x:c>
      <x:c r="C109" s="72" t="str">
        <x:v>P101</x:v>
      </x:c>
      <x:c r="D109" s="90" t="n">
        <x:f>INDEX('Calendário'!$C$9:$C$214,MATCH($C109,'Calendário'!$B$9:$B$214,0))</x:f>
        <x:v>46454.5</x:v>
      </x:c>
      <x:c r="E109" s="69" t="str">
        <x:f>INDEX('Calendário'!$F$9:$F$214,MATCH($C109,'Calendário'!$B$9:$B$214,0))</x:f>
        <x:v>Carrossel</x:v>
      </x:c>
      <x:c r="F109" s="69" t="str">
        <x:f>INDEX('Calendário'!$G$9:$G$214,MATCH($C109,'Calendário'!$B$9:$B$214,0))</x:f>
        <x:v>Como levar uma dúvida com o contexto do
modelo?</x:v>
      </x:c>
      <x:c r="G109" s="78" t="str">
        <x:f>IF(INDEX('Calendário'!$P$9:$P$214,MATCH($C109,'Calendário'!$B$9:$B$214,0))="","",INDEX('Calendário'!$P$9:$P$214,MATCH($C109,'Calendário'!$B$9:$B$214,0)))</x:f>
      </x:c>
      <x:c r="H109" s="75" t="str">
        <x:v>Não iniciada</x:v>
      </x:c>
      <x:c r="I109" s="75" t="str">
        <x:v>Não se aplica</x:v>
      </x:c>
      <x:c r="J109" s="75" t="str">
        <x:v>Pendente</x:v>
      </x:c>
      <x:c r="K109" s="75" t="str">
        <x:v>Pendente</x:v>
      </x:c>
      <x:c r="L109" s="87" t="str">
        <x:f>(COUNTIFS('Calendário'!$B$9:$B$214,$C109,'Calendário'!$J$9:$J$214,"Agendado")+COUNTIFS('Calendário'!$B$9:$B$214,$C109,'Calendário'!$K$9:$K$214,"Agendado")+COUNTIFS('Calendário'!$B$9:$B$214,$C109,'Calendário'!$M$9:$M$214,"Agendado")+COUNTIFS('Calendário'!$B$9:$B$214,$C109,'Calendário'!$N$9:$N$214,"Agendado")+COUNTIFS('Calendário'!$B$9:$B$214,$C109,'Calendário'!$O$9:$O$214,"Agendado")+COUNTIFS('Calendário'!$B$9:$B$214,$C109,'Calendário'!$J$9:$J$214,"Publicado")+COUNTIFS('Calendário'!$B$9:$B$214,$C109,'Calendário'!$K$9:$K$214,"Publicado")+COUNTIFS('Calendário'!$B$9:$B$214,$C109,'Calendário'!$M$9:$M$214,"Publicado")+COUNTIFS('Calendário'!$B$9:$B$214,$C109,'Calendário'!$N$9:$N$214,"Publicado")+COUNTIFS('Calendário'!$B$9:$B$214,$C109,'Calendário'!$O$9:$O$214,"Publicado"))&amp;" de "&amp;(5-COUNTIFS('Calendário'!$B$9:$B$214,$C109,'Calendário'!$N$9:$N$214,"Não se aplica")-COUNTIFS('Calendário'!$B$9:$B$214,$C109,'Calendário'!$O$9:$O$214,"Não se aplica"))</x:f>
        <x:v>0 de 3</x:v>
      </x:c>
      <x:c r="M109" s="87" t="str">
        <x:f>(COUNTIFS('Calendário'!$B$9:$B$214,$C109,'Calendário'!$J$9:$J$214,"Publicado")+COUNTIFS('Calendário'!$B$9:$B$214,$C109,'Calendário'!$K$9:$K$214,"Publicado")+COUNTIFS('Calendário'!$B$9:$B$214,$C109,'Calendário'!$M$9:$M$214,"Publicado")+COUNTIFS('Calendário'!$B$9:$B$214,$C109,'Calendário'!$N$9:$N$214,"Publicado")+COUNTIFS('Calendário'!$B$9:$B$214,$C109,'Calendário'!$O$9:$O$214,"Publicado"))&amp;" de "&amp;(5-COUNTIFS('Calendário'!$B$9:$B$214,$C109,'Calendário'!$N$9:$N$214,"Não se aplica")-COUNTIFS('Calendário'!$B$9:$B$214,$C109,'Calendário'!$O$9:$O$214,"Não se aplica"))</x:f>
        <x:v>0 de 3</x:v>
      </x:c>
      <x:c r="N109" s="75"/>
      <x:c r="O109" s="75"/>
      <x:c r="P109" s="61"/>
    </x:row>
    <x:row r="110" ht="57" customHeight="1">
      <x:c r="A110" s="61"/>
      <x:c r="B110" s="69" t="str">
        <x:f>TEXT(D110,"yyyy-mm")</x:f>
        <x:v>2027-03</x:v>
      </x:c>
      <x:c r="C110" s="72" t="str">
        <x:v>P102</x:v>
      </x:c>
      <x:c r="D110" s="90" t="n">
        <x:f>INDEX('Calendário'!$C$9:$C$214,MATCH($C110,'Calendário'!$B$9:$B$214,0))</x:f>
        <x:v>46456.5</x:v>
      </x:c>
      <x:c r="E110" s="69" t="str">
        <x:f>INDEX('Calendário'!$F$9:$F$214,MATCH($C110,'Calendário'!$B$9:$B$214,0))</x:f>
        <x:v>Reel</x:v>
      </x:c>
      <x:c r="F110" s="69" t="str">
        <x:f>INDEX('Calendário'!$G$9:$G$214,MATCH($C110,'Calendário'!$B$9:$B$214,0))</x:f>
        <x:v>Exemplo prático: comunicação com BCF.</x:v>
      </x:c>
      <x:c r="G110" s="78" t="str">
        <x:f>IF(INDEX('Calendário'!$P$9:$P$214,MATCH($C110,'Calendário'!$B$9:$B$214,0))="","",INDEX('Calendário'!$P$9:$P$214,MATCH($C110,'Calendário'!$B$9:$B$214,0)))</x:f>
      </x:c>
      <x:c r="H110" s="75" t="str">
        <x:v>Não iniciada</x:v>
      </x:c>
      <x:c r="I110" s="75" t="str">
        <x:v>Não iniciado</x:v>
      </x:c>
      <x:c r="J110" s="75" t="str">
        <x:v>Pendente</x:v>
      </x:c>
      <x:c r="K110" s="75" t="str">
        <x:v>Pendente</x:v>
      </x:c>
      <x:c r="L110" s="87" t="str">
        <x:f>(COUNTIFS('Calendário'!$B$9:$B$214,$C110,'Calendário'!$J$9:$J$214,"Agendado")+COUNTIFS('Calendário'!$B$9:$B$214,$C110,'Calendário'!$K$9:$K$214,"Agendado")+COUNTIFS('Calendário'!$B$9:$B$214,$C110,'Calendário'!$M$9:$M$214,"Agendado")+COUNTIFS('Calendário'!$B$9:$B$214,$C110,'Calendário'!$N$9:$N$214,"Agendado")+COUNTIFS('Calendário'!$B$9:$B$214,$C110,'Calendário'!$O$9:$O$214,"Agendado")+COUNTIFS('Calendário'!$B$9:$B$214,$C110,'Calendário'!$J$9:$J$214,"Publicado")+COUNTIFS('Calendário'!$B$9:$B$214,$C110,'Calendário'!$K$9:$K$214,"Publicado")+COUNTIFS('Calendário'!$B$9:$B$214,$C110,'Calendário'!$M$9:$M$214,"Publicado")+COUNTIFS('Calendário'!$B$9:$B$214,$C110,'Calendário'!$N$9:$N$214,"Publicado")+COUNTIFS('Calendário'!$B$9:$B$214,$C110,'Calendário'!$O$9:$O$214,"Publicado"))&amp;" de "&amp;(5-COUNTIFS('Calendário'!$B$9:$B$214,$C110,'Calendário'!$N$9:$N$214,"Não se aplica")-COUNTIFS('Calendário'!$B$9:$B$214,$C110,'Calendário'!$O$9:$O$214,"Não se aplica"))</x:f>
        <x:v>0 de 5</x:v>
      </x:c>
      <x:c r="M110" s="87" t="str">
        <x:f>(COUNTIFS('Calendário'!$B$9:$B$214,$C110,'Calendário'!$J$9:$J$214,"Publicado")+COUNTIFS('Calendário'!$B$9:$B$214,$C110,'Calendário'!$K$9:$K$214,"Publicado")+COUNTIFS('Calendário'!$B$9:$B$214,$C110,'Calendário'!$M$9:$M$214,"Publicado")+COUNTIFS('Calendário'!$B$9:$B$214,$C110,'Calendário'!$N$9:$N$214,"Publicado")+COUNTIFS('Calendário'!$B$9:$B$214,$C110,'Calendário'!$O$9:$O$214,"Publicado"))&amp;" de "&amp;(5-COUNTIFS('Calendário'!$B$9:$B$214,$C110,'Calendário'!$N$9:$N$214,"Não se aplica")-COUNTIFS('Calendário'!$B$9:$B$214,$C110,'Calendário'!$O$9:$O$214,"Não se aplica"))</x:f>
        <x:v>0 de 5</x:v>
      </x:c>
      <x:c r="N110" s="75"/>
      <x:c r="O110" s="75"/>
      <x:c r="P110" s="61"/>
    </x:row>
    <x:row r="111" ht="57" customHeight="1">
      <x:c r="A111" s="61"/>
      <x:c r="B111" s="69" t="str">
        <x:f>TEXT(D111,"yyyy-mm")</x:f>
        <x:v>2027-03</x:v>
      </x:c>
      <x:c r="C111" s="72" t="str">
        <x:v>P103</x:v>
      </x:c>
      <x:c r="D111" s="90" t="n">
        <x:f>INDEX('Calendário'!$C$9:$C$214,MATCH($C111,'Calendário'!$B$9:$B$214,0))</x:f>
        <x:v>46458.5</x:v>
      </x:c>
      <x:c r="E111" s="69" t="str">
        <x:f>INDEX('Calendário'!$F$9:$F$214,MATCH($C111,'Calendário'!$B$9:$B$214,0))</x:f>
        <x:v>Carrossel</x:v>
      </x:c>
      <x:c r="F111" s="69" t="str">
        <x:f>INDEX('Calendário'!$G$9:$G$214,MATCH($C111,'Calendário'!$B$9:$B$214,0))</x:f>
        <x:v>Checklist: comunicação com BCF.</x:v>
      </x:c>
      <x:c r="G111" s="78" t="str">
        <x:f>IF(INDEX('Calendário'!$P$9:$P$214,MATCH($C111,'Calendário'!$B$9:$B$214,0))="","",INDEX('Calendário'!$P$9:$P$214,MATCH($C111,'Calendário'!$B$9:$B$214,0)))</x:f>
      </x:c>
      <x:c r="H111" s="75" t="str">
        <x:v>Não iniciada</x:v>
      </x:c>
      <x:c r="I111" s="75" t="str">
        <x:v>Não se aplica</x:v>
      </x:c>
      <x:c r="J111" s="75" t="str">
        <x:v>Pendente</x:v>
      </x:c>
      <x:c r="K111" s="75" t="str">
        <x:v>Pendente</x:v>
      </x:c>
      <x:c r="L111" s="87" t="str">
        <x:f>(COUNTIFS('Calendário'!$B$9:$B$214,$C111,'Calendário'!$J$9:$J$214,"Agendado")+COUNTIFS('Calendário'!$B$9:$B$214,$C111,'Calendário'!$K$9:$K$214,"Agendado")+COUNTIFS('Calendário'!$B$9:$B$214,$C111,'Calendário'!$M$9:$M$214,"Agendado")+COUNTIFS('Calendário'!$B$9:$B$214,$C111,'Calendário'!$N$9:$N$214,"Agendado")+COUNTIFS('Calendário'!$B$9:$B$214,$C111,'Calendário'!$O$9:$O$214,"Agendado")+COUNTIFS('Calendário'!$B$9:$B$214,$C111,'Calendário'!$J$9:$J$214,"Publicado")+COUNTIFS('Calendário'!$B$9:$B$214,$C111,'Calendário'!$K$9:$K$214,"Publicado")+COUNTIFS('Calendário'!$B$9:$B$214,$C111,'Calendário'!$M$9:$M$214,"Publicado")+COUNTIFS('Calendário'!$B$9:$B$214,$C111,'Calendário'!$N$9:$N$214,"Publicado")+COUNTIFS('Calendário'!$B$9:$B$214,$C111,'Calendário'!$O$9:$O$214,"Publicado"))&amp;" de "&amp;(5-COUNTIFS('Calendário'!$B$9:$B$214,$C111,'Calendário'!$N$9:$N$214,"Não se aplica")-COUNTIFS('Calendário'!$B$9:$B$214,$C111,'Calendário'!$O$9:$O$214,"Não se aplica"))</x:f>
        <x:v>0 de 3</x:v>
      </x:c>
      <x:c r="M111" s="87" t="str">
        <x:f>(COUNTIFS('Calendário'!$B$9:$B$214,$C111,'Calendário'!$J$9:$J$214,"Publicado")+COUNTIFS('Calendário'!$B$9:$B$214,$C111,'Calendário'!$K$9:$K$214,"Publicado")+COUNTIFS('Calendário'!$B$9:$B$214,$C111,'Calendário'!$M$9:$M$214,"Publicado")+COUNTIFS('Calendário'!$B$9:$B$214,$C111,'Calendário'!$N$9:$N$214,"Publicado")+COUNTIFS('Calendário'!$B$9:$B$214,$C111,'Calendário'!$O$9:$O$214,"Publicado"))&amp;" de "&amp;(5-COUNTIFS('Calendário'!$B$9:$B$214,$C111,'Calendário'!$N$9:$N$214,"Não se aplica")-COUNTIFS('Calendário'!$B$9:$B$214,$C111,'Calendário'!$O$9:$O$214,"Não se aplica"))</x:f>
        <x:v>0 de 3</x:v>
      </x:c>
      <x:c r="N111" s="75"/>
      <x:c r="O111" s="75"/>
      <x:c r="P111" s="61"/>
    </x:row>
    <x:row r="112" ht="57" customHeight="1">
      <x:c r="A112" s="61"/>
      <x:c r="B112" s="69" t="str">
        <x:f>TEXT(D112,"yyyy-mm")</x:f>
        <x:v>2027-03</x:v>
      </x:c>
      <x:c r="C112" s="72" t="str">
        <x:v>P104</x:v>
      </x:c>
      <x:c r="D112" s="90" t="n">
        <x:f>INDEX('Calendário'!$C$9:$C$214,MATCH($C112,'Calendário'!$B$9:$B$214,0))</x:f>
        <x:v>46459.5</x:v>
      </x:c>
      <x:c r="E112" s="69" t="str">
        <x:f>INDEX('Calendário'!$F$9:$F$214,MATCH($C112,'Calendário'!$B$9:$B$214,0))</x:f>
        <x:v>Estático</x:v>
      </x:c>
      <x:c r="F112" s="69" t="str">
        <x:f>INDEX('Calendário'!$G$9:$G$214,MATCH($C112,'Calendário'!$B$9:$B$214,0))</x:f>
        <x:v>Como você mantém a pergunta ligada ao
contexto do modelo?</x:v>
      </x:c>
      <x:c r="G112" s="78" t="str">
        <x:f>IF(INDEX('Calendário'!$P$9:$P$214,MATCH($C112,'Calendário'!$B$9:$B$214,0))="","",INDEX('Calendário'!$P$9:$P$214,MATCH($C112,'Calendário'!$B$9:$B$214,0)))</x:f>
      </x:c>
      <x:c r="H112" s="75" t="str">
        <x:v>Não iniciada</x:v>
      </x:c>
      <x:c r="I112" s="75" t="str">
        <x:v>Não se aplica</x:v>
      </x:c>
      <x:c r="J112" s="75" t="str">
        <x:v>Pendente</x:v>
      </x:c>
      <x:c r="K112" s="75" t="str">
        <x:v>Pendente</x:v>
      </x:c>
      <x:c r="L112" s="87" t="str">
        <x:f>(COUNTIFS('Calendário'!$B$9:$B$214,$C112,'Calendário'!$J$9:$J$214,"Agendado")+COUNTIFS('Calendário'!$B$9:$B$214,$C112,'Calendário'!$K$9:$K$214,"Agendado")+COUNTIFS('Calendário'!$B$9:$B$214,$C112,'Calendário'!$M$9:$M$214,"Agendado")+COUNTIFS('Calendário'!$B$9:$B$214,$C112,'Calendário'!$N$9:$N$214,"Agendado")+COUNTIFS('Calendário'!$B$9:$B$214,$C112,'Calendário'!$O$9:$O$214,"Agendado")+COUNTIFS('Calendário'!$B$9:$B$214,$C112,'Calendário'!$J$9:$J$214,"Publicado")+COUNTIFS('Calendário'!$B$9:$B$214,$C112,'Calendário'!$K$9:$K$214,"Publicado")+COUNTIFS('Calendário'!$B$9:$B$214,$C112,'Calendário'!$M$9:$M$214,"Publicado")+COUNTIFS('Calendário'!$B$9:$B$214,$C112,'Calendário'!$N$9:$N$214,"Publicado")+COUNTIFS('Calendário'!$B$9:$B$214,$C112,'Calendário'!$O$9:$O$214,"Publicado"))&amp;" de "&amp;(5-COUNTIFS('Calendário'!$B$9:$B$214,$C112,'Calendário'!$N$9:$N$214,"Não se aplica")-COUNTIFS('Calendário'!$B$9:$B$214,$C112,'Calendário'!$O$9:$O$214,"Não se aplica"))</x:f>
        <x:v>0 de 3</x:v>
      </x:c>
      <x:c r="M112" s="87" t="str">
        <x:f>(COUNTIFS('Calendário'!$B$9:$B$214,$C112,'Calendário'!$J$9:$J$214,"Publicado")+COUNTIFS('Calendário'!$B$9:$B$214,$C112,'Calendário'!$K$9:$K$214,"Publicado")+COUNTIFS('Calendário'!$B$9:$B$214,$C112,'Calendário'!$M$9:$M$214,"Publicado")+COUNTIFS('Calendário'!$B$9:$B$214,$C112,'Calendário'!$N$9:$N$214,"Publicado")+COUNTIFS('Calendário'!$B$9:$B$214,$C112,'Calendário'!$O$9:$O$214,"Publicado"))&amp;" de "&amp;(5-COUNTIFS('Calendário'!$B$9:$B$214,$C112,'Calendário'!$N$9:$N$214,"Não se aplica")-COUNTIFS('Calendário'!$B$9:$B$214,$C112,'Calendário'!$O$9:$O$214,"Não se aplica"))</x:f>
        <x:v>0 de 3</x:v>
      </x:c>
      <x:c r="N112" s="75"/>
      <x:c r="O112" s="75"/>
      <x:c r="P112" s="61"/>
    </x:row>
    <x:row r="113" ht="57" customHeight="1">
      <x:c r="A113" s="61"/>
      <x:c r="B113" s="69" t="str">
        <x:f>TEXT(D113,"yyyy-mm")</x:f>
        <x:v>2027-03</x:v>
      </x:c>
      <x:c r="C113" s="72" t="str">
        <x:v>P105</x:v>
      </x:c>
      <x:c r="D113" s="90" t="n">
        <x:f>INDEX('Calendário'!$C$9:$C$214,MATCH($C113,'Calendário'!$B$9:$B$214,0))</x:f>
        <x:v>46461.5</x:v>
      </x:c>
      <x:c r="E113" s="69" t="str">
        <x:f>INDEX('Calendário'!$F$9:$F$214,MATCH($C113,'Calendário'!$B$9:$B$214,0))</x:f>
        <x:v>Carrossel</x:v>
      </x:c>
      <x:c r="F113" s="69" t="str">
        <x:f>INDEX('Calendário'!$G$9:$G$214,MATCH($C113,'Calendário'!$B$9:$B$214,0))</x:f>
        <x:v>O que combinar antes de enviar um modelo?</x:v>
      </x:c>
      <x:c r="G113" s="78" t="str">
        <x:f>IF(INDEX('Calendário'!$P$9:$P$214,MATCH($C113,'Calendário'!$B$9:$B$214,0))="","",INDEX('Calendário'!$P$9:$P$214,MATCH($C113,'Calendário'!$B$9:$B$214,0)))</x:f>
      </x:c>
      <x:c r="H113" s="75" t="str">
        <x:v>Não iniciada</x:v>
      </x:c>
      <x:c r="I113" s="75" t="str">
        <x:v>Não se aplica</x:v>
      </x:c>
      <x:c r="J113" s="75" t="str">
        <x:v>Pendente</x:v>
      </x:c>
      <x:c r="K113" s="75" t="str">
        <x:v>Pendente</x:v>
      </x:c>
      <x:c r="L113" s="87" t="str">
        <x:f>(COUNTIFS('Calendário'!$B$9:$B$214,$C113,'Calendário'!$J$9:$J$214,"Agendado")+COUNTIFS('Calendário'!$B$9:$B$214,$C113,'Calendário'!$K$9:$K$214,"Agendado")+COUNTIFS('Calendário'!$B$9:$B$214,$C113,'Calendário'!$M$9:$M$214,"Agendado")+COUNTIFS('Calendário'!$B$9:$B$214,$C113,'Calendário'!$N$9:$N$214,"Agendado")+COUNTIFS('Calendário'!$B$9:$B$214,$C113,'Calendário'!$O$9:$O$214,"Agendado")+COUNTIFS('Calendário'!$B$9:$B$214,$C113,'Calendário'!$J$9:$J$214,"Publicado")+COUNTIFS('Calendário'!$B$9:$B$214,$C113,'Calendário'!$K$9:$K$214,"Publicado")+COUNTIFS('Calendário'!$B$9:$B$214,$C113,'Calendário'!$M$9:$M$214,"Publicado")+COUNTIFS('Calendário'!$B$9:$B$214,$C113,'Calendário'!$N$9:$N$214,"Publicado")+COUNTIFS('Calendário'!$B$9:$B$214,$C113,'Calendário'!$O$9:$O$214,"Publicado"))&amp;" de "&amp;(5-COUNTIFS('Calendário'!$B$9:$B$214,$C113,'Calendário'!$N$9:$N$214,"Não se aplica")-COUNTIFS('Calendário'!$B$9:$B$214,$C113,'Calendário'!$O$9:$O$214,"Não se aplica"))</x:f>
        <x:v>0 de 3</x:v>
      </x:c>
      <x:c r="M113" s="87" t="str">
        <x:f>(COUNTIFS('Calendário'!$B$9:$B$214,$C113,'Calendário'!$J$9:$J$214,"Publicado")+COUNTIFS('Calendário'!$B$9:$B$214,$C113,'Calendário'!$K$9:$K$214,"Publicado")+COUNTIFS('Calendário'!$B$9:$B$214,$C113,'Calendário'!$M$9:$M$214,"Publicado")+COUNTIFS('Calendário'!$B$9:$B$214,$C113,'Calendário'!$N$9:$N$214,"Publicado")+COUNTIFS('Calendário'!$B$9:$B$214,$C113,'Calendário'!$O$9:$O$214,"Publicado"))&amp;" de "&amp;(5-COUNTIFS('Calendário'!$B$9:$B$214,$C113,'Calendário'!$N$9:$N$214,"Não se aplica")-COUNTIFS('Calendário'!$B$9:$B$214,$C113,'Calendário'!$O$9:$O$214,"Não se aplica"))</x:f>
        <x:v>0 de 3</x:v>
      </x:c>
      <x:c r="N113" s="75"/>
      <x:c r="O113" s="75"/>
      <x:c r="P113" s="61"/>
    </x:row>
    <x:row r="114" ht="57" customHeight="1">
      <x:c r="A114" s="61"/>
      <x:c r="B114" s="69" t="str">
        <x:f>TEXT(D114,"yyyy-mm")</x:f>
        <x:v>2027-03</x:v>
      </x:c>
      <x:c r="C114" s="72" t="str">
        <x:v>P106</x:v>
      </x:c>
      <x:c r="D114" s="90" t="n">
        <x:f>INDEX('Calendário'!$C$9:$C$214,MATCH($C114,'Calendário'!$B$9:$B$214,0))</x:f>
        <x:v>46463.5</x:v>
      </x:c>
      <x:c r="E114" s="69" t="str">
        <x:f>INDEX('Calendário'!$F$9:$F$214,MATCH($C114,'Calendário'!$B$9:$B$214,0))</x:f>
        <x:v>Reel</x:v>
      </x:c>
      <x:c r="F114" s="69" t="str">
        <x:f>INDEX('Calendário'!$G$9:$G$214,MATCH($C114,'Calendário'!$B$9:$B$214,0))</x:f>
        <x:v>Exemplo prático: acordo de troca.</x:v>
      </x:c>
      <x:c r="G114" s="78" t="str">
        <x:f>IF(INDEX('Calendário'!$P$9:$P$214,MATCH($C114,'Calendário'!$B$9:$B$214,0))="","",INDEX('Calendário'!$P$9:$P$214,MATCH($C114,'Calendário'!$B$9:$B$214,0)))</x:f>
      </x:c>
      <x:c r="H114" s="75" t="str">
        <x:v>Não iniciada</x:v>
      </x:c>
      <x:c r="I114" s="75" t="str">
        <x:v>Não iniciado</x:v>
      </x:c>
      <x:c r="J114" s="75" t="str">
        <x:v>Pendente</x:v>
      </x:c>
      <x:c r="K114" s="75" t="str">
        <x:v>Pendente</x:v>
      </x:c>
      <x:c r="L114" s="87" t="str">
        <x:f>(COUNTIFS('Calendário'!$B$9:$B$214,$C114,'Calendário'!$J$9:$J$214,"Agendado")+COUNTIFS('Calendário'!$B$9:$B$214,$C114,'Calendário'!$K$9:$K$214,"Agendado")+COUNTIFS('Calendário'!$B$9:$B$214,$C114,'Calendário'!$M$9:$M$214,"Agendado")+COUNTIFS('Calendário'!$B$9:$B$214,$C114,'Calendário'!$N$9:$N$214,"Agendado")+COUNTIFS('Calendário'!$B$9:$B$214,$C114,'Calendário'!$O$9:$O$214,"Agendado")+COUNTIFS('Calendário'!$B$9:$B$214,$C114,'Calendário'!$J$9:$J$214,"Publicado")+COUNTIFS('Calendário'!$B$9:$B$214,$C114,'Calendário'!$K$9:$K$214,"Publicado")+COUNTIFS('Calendário'!$B$9:$B$214,$C114,'Calendário'!$M$9:$M$214,"Publicado")+COUNTIFS('Calendário'!$B$9:$B$214,$C114,'Calendário'!$N$9:$N$214,"Publicado")+COUNTIFS('Calendário'!$B$9:$B$214,$C114,'Calendário'!$O$9:$O$214,"Publicado"))&amp;" de "&amp;(5-COUNTIFS('Calendário'!$B$9:$B$214,$C114,'Calendário'!$N$9:$N$214,"Não se aplica")-COUNTIFS('Calendário'!$B$9:$B$214,$C114,'Calendário'!$O$9:$O$214,"Não se aplica"))</x:f>
        <x:v>0 de 5</x:v>
      </x:c>
      <x:c r="M114" s="87" t="str">
        <x:f>(COUNTIFS('Calendário'!$B$9:$B$214,$C114,'Calendário'!$J$9:$J$214,"Publicado")+COUNTIFS('Calendário'!$B$9:$B$214,$C114,'Calendário'!$K$9:$K$214,"Publicado")+COUNTIFS('Calendário'!$B$9:$B$214,$C114,'Calendário'!$M$9:$M$214,"Publicado")+COUNTIFS('Calendário'!$B$9:$B$214,$C114,'Calendário'!$N$9:$N$214,"Publicado")+COUNTIFS('Calendário'!$B$9:$B$214,$C114,'Calendário'!$O$9:$O$214,"Publicado"))&amp;" de "&amp;(5-COUNTIFS('Calendário'!$B$9:$B$214,$C114,'Calendário'!$N$9:$N$214,"Não se aplica")-COUNTIFS('Calendário'!$B$9:$B$214,$C114,'Calendário'!$O$9:$O$214,"Não se aplica"))</x:f>
        <x:v>0 de 5</x:v>
      </x:c>
      <x:c r="N114" s="75"/>
      <x:c r="O114" s="75"/>
      <x:c r="P114" s="61"/>
    </x:row>
    <x:row r="115" ht="57" customHeight="1">
      <x:c r="A115" s="61"/>
      <x:c r="B115" s="69" t="str">
        <x:f>TEXT(D115,"yyyy-mm")</x:f>
        <x:v>2027-03</x:v>
      </x:c>
      <x:c r="C115" s="72" t="str">
        <x:v>P107</x:v>
      </x:c>
      <x:c r="D115" s="90" t="n">
        <x:f>INDEX('Calendário'!$C$9:$C$214,MATCH($C115,'Calendário'!$B$9:$B$214,0))</x:f>
        <x:v>46465.5</x:v>
      </x:c>
      <x:c r="E115" s="69" t="str">
        <x:f>INDEX('Calendário'!$F$9:$F$214,MATCH($C115,'Calendário'!$B$9:$B$214,0))</x:f>
        <x:v>Carrossel</x:v>
      </x:c>
      <x:c r="F115" s="69" t="str">
        <x:f>INDEX('Calendário'!$G$9:$G$214,MATCH($C115,'Calendário'!$B$9:$B$214,0))</x:f>
        <x:v>Checklist: acordo de troca.</x:v>
      </x:c>
      <x:c r="G115" s="78" t="str">
        <x:f>IF(INDEX('Calendário'!$P$9:$P$214,MATCH($C115,'Calendário'!$B$9:$B$214,0))="","",INDEX('Calendário'!$P$9:$P$214,MATCH($C115,'Calendário'!$B$9:$B$214,0)))</x:f>
      </x:c>
      <x:c r="H115" s="75" t="str">
        <x:v>Não iniciada</x:v>
      </x:c>
      <x:c r="I115" s="75" t="str">
        <x:v>Não se aplica</x:v>
      </x:c>
      <x:c r="J115" s="75" t="str">
        <x:v>Pendente</x:v>
      </x:c>
      <x:c r="K115" s="75" t="str">
        <x:v>Pendente</x:v>
      </x:c>
      <x:c r="L115" s="87" t="str">
        <x:f>(COUNTIFS('Calendário'!$B$9:$B$214,$C115,'Calendário'!$J$9:$J$214,"Agendado")+COUNTIFS('Calendário'!$B$9:$B$214,$C115,'Calendário'!$K$9:$K$214,"Agendado")+COUNTIFS('Calendário'!$B$9:$B$214,$C115,'Calendário'!$M$9:$M$214,"Agendado")+COUNTIFS('Calendário'!$B$9:$B$214,$C115,'Calendário'!$N$9:$N$214,"Agendado")+COUNTIFS('Calendário'!$B$9:$B$214,$C115,'Calendário'!$O$9:$O$214,"Agendado")+COUNTIFS('Calendário'!$B$9:$B$214,$C115,'Calendário'!$J$9:$J$214,"Publicado")+COUNTIFS('Calendário'!$B$9:$B$214,$C115,'Calendário'!$K$9:$K$214,"Publicado")+COUNTIFS('Calendário'!$B$9:$B$214,$C115,'Calendário'!$M$9:$M$214,"Publicado")+COUNTIFS('Calendário'!$B$9:$B$214,$C115,'Calendário'!$N$9:$N$214,"Publicado")+COUNTIFS('Calendário'!$B$9:$B$214,$C115,'Calendário'!$O$9:$O$214,"Publicado"))&amp;" de "&amp;(5-COUNTIFS('Calendário'!$B$9:$B$214,$C115,'Calendário'!$N$9:$N$214,"Não se aplica")-COUNTIFS('Calendário'!$B$9:$B$214,$C115,'Calendário'!$O$9:$O$214,"Não se aplica"))</x:f>
        <x:v>0 de 3</x:v>
      </x:c>
      <x:c r="M115" s="87" t="str">
        <x:f>(COUNTIFS('Calendário'!$B$9:$B$214,$C115,'Calendário'!$J$9:$J$214,"Publicado")+COUNTIFS('Calendário'!$B$9:$B$214,$C115,'Calendário'!$K$9:$K$214,"Publicado")+COUNTIFS('Calendário'!$B$9:$B$214,$C115,'Calendário'!$M$9:$M$214,"Publicado")+COUNTIFS('Calendário'!$B$9:$B$214,$C115,'Calendário'!$N$9:$N$214,"Publicado")+COUNTIFS('Calendário'!$B$9:$B$214,$C115,'Calendário'!$O$9:$O$214,"Publicado"))&amp;" de "&amp;(5-COUNTIFS('Calendário'!$B$9:$B$214,$C115,'Calendário'!$N$9:$N$214,"Não se aplica")-COUNTIFS('Calendário'!$B$9:$B$214,$C115,'Calendário'!$O$9:$O$214,"Não se aplica"))</x:f>
        <x:v>0 de 3</x:v>
      </x:c>
      <x:c r="N115" s="75"/>
      <x:c r="O115" s="75"/>
      <x:c r="P115" s="61"/>
    </x:row>
    <x:row r="116" ht="57" customHeight="1">
      <x:c r="A116" s="61"/>
      <x:c r="B116" s="69" t="str">
        <x:f>TEXT(D116,"yyyy-mm")</x:f>
        <x:v>2027-03</x:v>
      </x:c>
      <x:c r="C116" s="72" t="str">
        <x:v>P108</x:v>
      </x:c>
      <x:c r="D116" s="90" t="n">
        <x:f>INDEX('Calendário'!$C$9:$C$214,MATCH($C116,'Calendário'!$B$9:$B$214,0))</x:f>
        <x:v>46466.5</x:v>
      </x:c>
      <x:c r="E116" s="69" t="str">
        <x:f>INDEX('Calendário'!$F$9:$F$214,MATCH($C116,'Calendário'!$B$9:$B$214,0))</x:f>
        <x:v>Estático</x:v>
      </x:c>
      <x:c r="F116" s="69" t="str">
        <x:f>INDEX('Calendário'!$G$9:$G$214,MATCH($C116,'Calendário'!$B$9:$B$214,0))</x:f>
        <x:v>Qual acordo evitaria uma nova rodada de
envio?</x:v>
      </x:c>
      <x:c r="G116" s="78" t="str">
        <x:f>IF(INDEX('Calendário'!$P$9:$P$214,MATCH($C116,'Calendário'!$B$9:$B$214,0))="","",INDEX('Calendário'!$P$9:$P$214,MATCH($C116,'Calendário'!$B$9:$B$214,0)))</x:f>
      </x:c>
      <x:c r="H116" s="75" t="str">
        <x:v>Não iniciada</x:v>
      </x:c>
      <x:c r="I116" s="75" t="str">
        <x:v>Não se aplica</x:v>
      </x:c>
      <x:c r="J116" s="75" t="str">
        <x:v>Pendente</x:v>
      </x:c>
      <x:c r="K116" s="75" t="str">
        <x:v>Pendente</x:v>
      </x:c>
      <x:c r="L116" s="87" t="str">
        <x:f>(COUNTIFS('Calendário'!$B$9:$B$214,$C116,'Calendário'!$J$9:$J$214,"Agendado")+COUNTIFS('Calendário'!$B$9:$B$214,$C116,'Calendário'!$K$9:$K$214,"Agendado")+COUNTIFS('Calendário'!$B$9:$B$214,$C116,'Calendário'!$M$9:$M$214,"Agendado")+COUNTIFS('Calendário'!$B$9:$B$214,$C116,'Calendário'!$N$9:$N$214,"Agendado")+COUNTIFS('Calendário'!$B$9:$B$214,$C116,'Calendário'!$O$9:$O$214,"Agendado")+COUNTIFS('Calendário'!$B$9:$B$214,$C116,'Calendário'!$J$9:$J$214,"Publicado")+COUNTIFS('Calendário'!$B$9:$B$214,$C116,'Calendário'!$K$9:$K$214,"Publicado")+COUNTIFS('Calendário'!$B$9:$B$214,$C116,'Calendário'!$M$9:$M$214,"Publicado")+COUNTIFS('Calendário'!$B$9:$B$214,$C116,'Calendário'!$N$9:$N$214,"Publicado")+COUNTIFS('Calendário'!$B$9:$B$214,$C116,'Calendário'!$O$9:$O$214,"Publicado"))&amp;" de "&amp;(5-COUNTIFS('Calendário'!$B$9:$B$214,$C116,'Calendário'!$N$9:$N$214,"Não se aplica")-COUNTIFS('Calendário'!$B$9:$B$214,$C116,'Calendário'!$O$9:$O$214,"Não se aplica"))</x:f>
        <x:v>0 de 3</x:v>
      </x:c>
      <x:c r="M116" s="87" t="str">
        <x:f>(COUNTIFS('Calendário'!$B$9:$B$214,$C116,'Calendário'!$J$9:$J$214,"Publicado")+COUNTIFS('Calendário'!$B$9:$B$214,$C116,'Calendário'!$K$9:$K$214,"Publicado")+COUNTIFS('Calendário'!$B$9:$B$214,$C116,'Calendário'!$M$9:$M$214,"Publicado")+COUNTIFS('Calendário'!$B$9:$B$214,$C116,'Calendário'!$N$9:$N$214,"Publicado")+COUNTIFS('Calendário'!$B$9:$B$214,$C116,'Calendário'!$O$9:$O$214,"Publicado"))&amp;" de "&amp;(5-COUNTIFS('Calendário'!$B$9:$B$214,$C116,'Calendário'!$N$9:$N$214,"Não se aplica")-COUNTIFS('Calendário'!$B$9:$B$214,$C116,'Calendário'!$O$9:$O$214,"Não se aplica"))</x:f>
        <x:v>0 de 3</x:v>
      </x:c>
      <x:c r="N116" s="75"/>
      <x:c r="O116" s="75"/>
      <x:c r="P116" s="61"/>
    </x:row>
    <x:row r="117" ht="57" customHeight="1">
      <x:c r="A117" s="61"/>
      <x:c r="B117" s="69" t="str">
        <x:f>TEXT(D117,"yyyy-mm")</x:f>
        <x:v>2027-03</x:v>
      </x:c>
      <x:c r="C117" s="72" t="str">
        <x:v>P109</x:v>
      </x:c>
      <x:c r="D117" s="90" t="n">
        <x:f>INDEX('Calendário'!$C$9:$C$214,MATCH($C117,'Calendário'!$B$9:$B$214,0))</x:f>
        <x:v>46468.5</x:v>
      </x:c>
      <x:c r="E117" s="69" t="str">
        <x:f>INDEX('Calendário'!$F$9:$F$214,MATCH($C117,'Calendário'!$B$9:$B$214,0))</x:f>
        <x:v>Carrossel</x:v>
      </x:c>
      <x:c r="F117" s="69" t="str">
        <x:f>INDEX('Calendário'!$G$9:$G$214,MATCH($C117,'Calendário'!$B$9:$B$214,0))</x:f>
        <x:v>O arquivo abriu. A entrega está completa?</x:v>
      </x:c>
      <x:c r="G117" s="78" t="str">
        <x:f>IF(INDEX('Calendário'!$P$9:$P$214,MATCH($C117,'Calendário'!$B$9:$B$214,0))="","",INDEX('Calendário'!$P$9:$P$214,MATCH($C117,'Calendário'!$B$9:$B$214,0)))</x:f>
      </x:c>
      <x:c r="H117" s="75" t="str">
        <x:v>Não iniciada</x:v>
      </x:c>
      <x:c r="I117" s="75" t="str">
        <x:v>Não se aplica</x:v>
      </x:c>
      <x:c r="J117" s="75" t="str">
        <x:v>Pendente</x:v>
      </x:c>
      <x:c r="K117" s="75" t="str">
        <x:v>Pendente</x:v>
      </x:c>
      <x:c r="L117" s="87" t="str">
        <x:f>(COUNTIFS('Calendário'!$B$9:$B$214,$C117,'Calendário'!$J$9:$J$214,"Agendado")+COUNTIFS('Calendário'!$B$9:$B$214,$C117,'Calendário'!$K$9:$K$214,"Agendado")+COUNTIFS('Calendário'!$B$9:$B$214,$C117,'Calendário'!$M$9:$M$214,"Agendado")+COUNTIFS('Calendário'!$B$9:$B$214,$C117,'Calendário'!$N$9:$N$214,"Agendado")+COUNTIFS('Calendário'!$B$9:$B$214,$C117,'Calendário'!$O$9:$O$214,"Agendado")+COUNTIFS('Calendário'!$B$9:$B$214,$C117,'Calendário'!$J$9:$J$214,"Publicado")+COUNTIFS('Calendário'!$B$9:$B$214,$C117,'Calendário'!$K$9:$K$214,"Publicado")+COUNTIFS('Calendário'!$B$9:$B$214,$C117,'Calendário'!$M$9:$M$214,"Publicado")+COUNTIFS('Calendário'!$B$9:$B$214,$C117,'Calendário'!$N$9:$N$214,"Publicado")+COUNTIFS('Calendário'!$B$9:$B$214,$C117,'Calendário'!$O$9:$O$214,"Publicado"))&amp;" de "&amp;(5-COUNTIFS('Calendário'!$B$9:$B$214,$C117,'Calendário'!$N$9:$N$214,"Não se aplica")-COUNTIFS('Calendário'!$B$9:$B$214,$C117,'Calendário'!$O$9:$O$214,"Não se aplica"))</x:f>
        <x:v>0 de 3</x:v>
      </x:c>
      <x:c r="M117" s="87" t="str">
        <x:f>(COUNTIFS('Calendário'!$B$9:$B$214,$C117,'Calendário'!$J$9:$J$214,"Publicado")+COUNTIFS('Calendário'!$B$9:$B$214,$C117,'Calendário'!$K$9:$K$214,"Publicado")+COUNTIFS('Calendário'!$B$9:$B$214,$C117,'Calendário'!$M$9:$M$214,"Publicado")+COUNTIFS('Calendário'!$B$9:$B$214,$C117,'Calendário'!$N$9:$N$214,"Publicado")+COUNTIFS('Calendário'!$B$9:$B$214,$C117,'Calendário'!$O$9:$O$214,"Publicado"))&amp;" de "&amp;(5-COUNTIFS('Calendário'!$B$9:$B$214,$C117,'Calendário'!$N$9:$N$214,"Não se aplica")-COUNTIFS('Calendário'!$B$9:$B$214,$C117,'Calendário'!$O$9:$O$214,"Não se aplica"))</x:f>
        <x:v>0 de 3</x:v>
      </x:c>
      <x:c r="N117" s="75"/>
      <x:c r="O117" s="75"/>
      <x:c r="P117" s="61"/>
    </x:row>
    <x:row r="118" ht="57" customHeight="1">
      <x:c r="A118" s="61"/>
      <x:c r="B118" s="69" t="str">
        <x:f>TEXT(D118,"yyyy-mm")</x:f>
        <x:v>2027-03</x:v>
      </x:c>
      <x:c r="C118" s="72" t="str">
        <x:v>P110</x:v>
      </x:c>
      <x:c r="D118" s="90" t="n">
        <x:f>INDEX('Calendário'!$C$9:$C$214,MATCH($C118,'Calendário'!$B$9:$B$214,0))</x:f>
        <x:v>46470.5</x:v>
      </x:c>
      <x:c r="E118" s="69" t="str">
        <x:f>INDEX('Calendário'!$F$9:$F$214,MATCH($C118,'Calendário'!$B$9:$B$214,0))</x:f>
        <x:v>Reel</x:v>
      </x:c>
      <x:c r="F118" s="69" t="str">
        <x:f>INDEX('Calendário'!$G$9:$G$214,MATCH($C118,'Calendário'!$B$9:$B$214,0))</x:f>
        <x:v>Exemplo prático: conferência do recebido.</x:v>
      </x:c>
      <x:c r="G118" s="78" t="str">
        <x:f>IF(INDEX('Calendário'!$P$9:$P$214,MATCH($C118,'Calendário'!$B$9:$B$214,0))="","",INDEX('Calendário'!$P$9:$P$214,MATCH($C118,'Calendário'!$B$9:$B$214,0)))</x:f>
      </x:c>
      <x:c r="H118" s="75" t="str">
        <x:v>Não iniciada</x:v>
      </x:c>
      <x:c r="I118" s="75" t="str">
        <x:v>Não iniciado</x:v>
      </x:c>
      <x:c r="J118" s="75" t="str">
        <x:v>Pendente</x:v>
      </x:c>
      <x:c r="K118" s="75" t="str">
        <x:v>Pendente</x:v>
      </x:c>
      <x:c r="L118" s="87" t="str">
        <x:f>(COUNTIFS('Calendário'!$B$9:$B$214,$C118,'Calendário'!$J$9:$J$214,"Agendado")+COUNTIFS('Calendário'!$B$9:$B$214,$C118,'Calendário'!$K$9:$K$214,"Agendado")+COUNTIFS('Calendário'!$B$9:$B$214,$C118,'Calendário'!$M$9:$M$214,"Agendado")+COUNTIFS('Calendário'!$B$9:$B$214,$C118,'Calendário'!$N$9:$N$214,"Agendado")+COUNTIFS('Calendário'!$B$9:$B$214,$C118,'Calendário'!$O$9:$O$214,"Agendado")+COUNTIFS('Calendário'!$B$9:$B$214,$C118,'Calendário'!$J$9:$J$214,"Publicado")+COUNTIFS('Calendário'!$B$9:$B$214,$C118,'Calendário'!$K$9:$K$214,"Publicado")+COUNTIFS('Calendário'!$B$9:$B$214,$C118,'Calendário'!$M$9:$M$214,"Publicado")+COUNTIFS('Calendário'!$B$9:$B$214,$C118,'Calendário'!$N$9:$N$214,"Publicado")+COUNTIFS('Calendário'!$B$9:$B$214,$C118,'Calendário'!$O$9:$O$214,"Publicado"))&amp;" de "&amp;(5-COUNTIFS('Calendário'!$B$9:$B$214,$C118,'Calendário'!$N$9:$N$214,"Não se aplica")-COUNTIFS('Calendário'!$B$9:$B$214,$C118,'Calendário'!$O$9:$O$214,"Não se aplica"))</x:f>
        <x:v>0 de 5</x:v>
      </x:c>
      <x:c r="M118" s="87" t="str">
        <x:f>(COUNTIFS('Calendário'!$B$9:$B$214,$C118,'Calendário'!$J$9:$J$214,"Publicado")+COUNTIFS('Calendário'!$B$9:$B$214,$C118,'Calendário'!$K$9:$K$214,"Publicado")+COUNTIFS('Calendário'!$B$9:$B$214,$C118,'Calendário'!$M$9:$M$214,"Publicado")+COUNTIFS('Calendário'!$B$9:$B$214,$C118,'Calendário'!$N$9:$N$214,"Publicado")+COUNTIFS('Calendário'!$B$9:$B$214,$C118,'Calendário'!$O$9:$O$214,"Publicado"))&amp;" de "&amp;(5-COUNTIFS('Calendário'!$B$9:$B$214,$C118,'Calendário'!$N$9:$N$214,"Não se aplica")-COUNTIFS('Calendário'!$B$9:$B$214,$C118,'Calendário'!$O$9:$O$214,"Não se aplica"))</x:f>
        <x:v>0 de 5</x:v>
      </x:c>
      <x:c r="N118" s="75"/>
      <x:c r="O118" s="75"/>
      <x:c r="P118" s="61"/>
    </x:row>
    <x:row r="119" ht="57" customHeight="1">
      <x:c r="A119" s="61"/>
      <x:c r="B119" s="69" t="str">
        <x:f>TEXT(D119,"yyyy-mm")</x:f>
        <x:v>2027-03</x:v>
      </x:c>
      <x:c r="C119" s="72" t="str">
        <x:v>P111</x:v>
      </x:c>
      <x:c r="D119" s="90" t="n">
        <x:f>INDEX('Calendário'!$C$9:$C$214,MATCH($C119,'Calendário'!$B$9:$B$214,0))</x:f>
        <x:v>46472.5</x:v>
      </x:c>
      <x:c r="E119" s="69" t="str">
        <x:f>INDEX('Calendário'!$F$9:$F$214,MATCH($C119,'Calendário'!$B$9:$B$214,0))</x:f>
        <x:v>Carrossel</x:v>
      </x:c>
      <x:c r="F119" s="69" t="str">
        <x:f>INDEX('Calendário'!$G$9:$G$214,MATCH($C119,'Calendário'!$B$9:$B$214,0))</x:f>
        <x:v>Checklist: conferência do recebido.</x:v>
      </x:c>
      <x:c r="G119" s="78" t="str">
        <x:f>IF(INDEX('Calendário'!$P$9:$P$214,MATCH($C119,'Calendário'!$B$9:$B$214,0))="","",INDEX('Calendário'!$P$9:$P$214,MATCH($C119,'Calendário'!$B$9:$B$214,0)))</x:f>
      </x:c>
      <x:c r="H119" s="75" t="str">
        <x:v>Não iniciada</x:v>
      </x:c>
      <x:c r="I119" s="75" t="str">
        <x:v>Não se aplica</x:v>
      </x:c>
      <x:c r="J119" s="75" t="str">
        <x:v>Pendente</x:v>
      </x:c>
      <x:c r="K119" s="75" t="str">
        <x:v>Pendente</x:v>
      </x:c>
      <x:c r="L119" s="87" t="str">
        <x:f>(COUNTIFS('Calendário'!$B$9:$B$214,$C119,'Calendário'!$J$9:$J$214,"Agendado")+COUNTIFS('Calendário'!$B$9:$B$214,$C119,'Calendário'!$K$9:$K$214,"Agendado")+COUNTIFS('Calendário'!$B$9:$B$214,$C119,'Calendário'!$M$9:$M$214,"Agendado")+COUNTIFS('Calendário'!$B$9:$B$214,$C119,'Calendário'!$N$9:$N$214,"Agendado")+COUNTIFS('Calendário'!$B$9:$B$214,$C119,'Calendário'!$O$9:$O$214,"Agendado")+COUNTIFS('Calendário'!$B$9:$B$214,$C119,'Calendário'!$J$9:$J$214,"Publicado")+COUNTIFS('Calendário'!$B$9:$B$214,$C119,'Calendário'!$K$9:$K$214,"Publicado")+COUNTIFS('Calendário'!$B$9:$B$214,$C119,'Calendário'!$M$9:$M$214,"Publicado")+COUNTIFS('Calendário'!$B$9:$B$214,$C119,'Calendário'!$N$9:$N$214,"Publicado")+COUNTIFS('Calendário'!$B$9:$B$214,$C119,'Calendário'!$O$9:$O$214,"Publicado"))&amp;" de "&amp;(5-COUNTIFS('Calendário'!$B$9:$B$214,$C119,'Calendário'!$N$9:$N$214,"Não se aplica")-COUNTIFS('Calendário'!$B$9:$B$214,$C119,'Calendário'!$O$9:$O$214,"Não se aplica"))</x:f>
        <x:v>0 de 3</x:v>
      </x:c>
      <x:c r="M119" s="87" t="str">
        <x:f>(COUNTIFS('Calendário'!$B$9:$B$214,$C119,'Calendário'!$J$9:$J$214,"Publicado")+COUNTIFS('Calendário'!$B$9:$B$214,$C119,'Calendário'!$K$9:$K$214,"Publicado")+COUNTIFS('Calendário'!$B$9:$B$214,$C119,'Calendário'!$M$9:$M$214,"Publicado")+COUNTIFS('Calendário'!$B$9:$B$214,$C119,'Calendário'!$N$9:$N$214,"Publicado")+COUNTIFS('Calendário'!$B$9:$B$214,$C119,'Calendário'!$O$9:$O$214,"Publicado"))&amp;" de "&amp;(5-COUNTIFS('Calendário'!$B$9:$B$214,$C119,'Calendário'!$N$9:$N$214,"Não se aplica")-COUNTIFS('Calendário'!$B$9:$B$214,$C119,'Calendário'!$O$9:$O$214,"Não se aplica"))</x:f>
        <x:v>0 de 3</x:v>
      </x:c>
      <x:c r="N119" s="75"/>
      <x:c r="O119" s="75"/>
      <x:c r="P119" s="61"/>
    </x:row>
    <x:row r="120" ht="57" customHeight="1">
      <x:c r="A120" s="61"/>
      <x:c r="B120" s="69" t="str">
        <x:f>TEXT(D120,"yyyy-mm")</x:f>
        <x:v>2027-03</x:v>
      </x:c>
      <x:c r="C120" s="72" t="str">
        <x:v>P112</x:v>
      </x:c>
      <x:c r="D120" s="90" t="n">
        <x:f>INDEX('Calendário'!$C$9:$C$214,MATCH($C120,'Calendário'!$B$9:$B$214,0))</x:f>
        <x:v>46473.5</x:v>
      </x:c>
      <x:c r="E120" s="69" t="str">
        <x:f>INDEX('Calendário'!$F$9:$F$214,MATCH($C120,'Calendário'!$B$9:$B$214,0))</x:f>
        <x:v>Estático</x:v>
      </x:c>
      <x:c r="F120" s="69" t="str">
        <x:f>INDEX('Calendário'!$G$9:$G$214,MATCH($C120,'Calendário'!$B$9:$B$214,0))</x:f>
        <x:v>Converse com a Arxis sobre conferência do
recebido.</x:v>
      </x:c>
      <x:c r="G120" s="78" t="str">
        <x:f>IF(INDEX('Calendário'!$P$9:$P$214,MATCH($C120,'Calendário'!$B$9:$B$214,0))="","",INDEX('Calendário'!$P$9:$P$214,MATCH($C120,'Calendário'!$B$9:$B$214,0)))</x:f>
      </x:c>
      <x:c r="H120" s="75" t="str">
        <x:v>Não iniciada</x:v>
      </x:c>
      <x:c r="I120" s="75" t="str">
        <x:v>Não se aplica</x:v>
      </x:c>
      <x:c r="J120" s="75" t="str">
        <x:v>Pendente</x:v>
      </x:c>
      <x:c r="K120" s="75" t="str">
        <x:v>Pendente</x:v>
      </x:c>
      <x:c r="L120" s="87" t="str">
        <x:f>(COUNTIFS('Calendário'!$B$9:$B$214,$C120,'Calendário'!$J$9:$J$214,"Agendado")+COUNTIFS('Calendário'!$B$9:$B$214,$C120,'Calendário'!$K$9:$K$214,"Agendado")+COUNTIFS('Calendário'!$B$9:$B$214,$C120,'Calendário'!$M$9:$M$214,"Agendado")+COUNTIFS('Calendário'!$B$9:$B$214,$C120,'Calendário'!$N$9:$N$214,"Agendado")+COUNTIFS('Calendário'!$B$9:$B$214,$C120,'Calendário'!$O$9:$O$214,"Agendado")+COUNTIFS('Calendário'!$B$9:$B$214,$C120,'Calendário'!$J$9:$J$214,"Publicado")+COUNTIFS('Calendário'!$B$9:$B$214,$C120,'Calendário'!$K$9:$K$214,"Publicado")+COUNTIFS('Calendário'!$B$9:$B$214,$C120,'Calendário'!$M$9:$M$214,"Publicado")+COUNTIFS('Calendário'!$B$9:$B$214,$C120,'Calendário'!$N$9:$N$214,"Publicado")+COUNTIFS('Calendário'!$B$9:$B$214,$C120,'Calendário'!$O$9:$O$214,"Publicado"))&amp;" de "&amp;(5-COUNTIFS('Calendário'!$B$9:$B$214,$C120,'Calendário'!$N$9:$N$214,"Não se aplica")-COUNTIFS('Calendário'!$B$9:$B$214,$C120,'Calendário'!$O$9:$O$214,"Não se aplica"))</x:f>
        <x:v>0 de 3</x:v>
      </x:c>
      <x:c r="M120" s="87" t="str">
        <x:f>(COUNTIFS('Calendário'!$B$9:$B$214,$C120,'Calendário'!$J$9:$J$214,"Publicado")+COUNTIFS('Calendário'!$B$9:$B$214,$C120,'Calendário'!$K$9:$K$214,"Publicado")+COUNTIFS('Calendário'!$B$9:$B$214,$C120,'Calendário'!$M$9:$M$214,"Publicado")+COUNTIFS('Calendário'!$B$9:$B$214,$C120,'Calendário'!$N$9:$N$214,"Publicado")+COUNTIFS('Calendário'!$B$9:$B$214,$C120,'Calendário'!$O$9:$O$214,"Publicado"))&amp;" de "&amp;(5-COUNTIFS('Calendário'!$B$9:$B$214,$C120,'Calendário'!$N$9:$N$214,"Não se aplica")-COUNTIFS('Calendário'!$B$9:$B$214,$C120,'Calendário'!$O$9:$O$214,"Não se aplica"))</x:f>
        <x:v>0 de 3</x:v>
      </x:c>
      <x:c r="N120" s="75"/>
      <x:c r="O120" s="75"/>
      <x:c r="P120" s="61"/>
    </x:row>
    <x:row r="121" ht="57" customHeight="1">
      <x:c r="A121" s="61"/>
      <x:c r="B121" s="69" t="str">
        <x:f>TEXT(D121,"yyyy-mm")</x:f>
        <x:v>2027-03</x:v>
      </x:c>
      <x:c r="C121" s="72" t="str">
        <x:v>P113</x:v>
      </x:c>
      <x:c r="D121" s="90" t="n">
        <x:f>INDEX('Calendário'!$C$9:$C$214,MATCH($C121,'Calendário'!$B$9:$B$214,0))</x:f>
        <x:v>46475.5</x:v>
      </x:c>
      <x:c r="E121" s="69" t="str">
        <x:f>INDEX('Calendário'!$F$9:$F$214,MATCH($C121,'Calendário'!$B$9:$B$214,0))</x:f>
        <x:v>Carrossel</x:v>
      </x:c>
      <x:c r="F121" s="69" t="str">
        <x:f>INDEX('Calendário'!$G$9:$G$214,MATCH($C121,'Calendário'!$B$9:$B$214,0))</x:f>
        <x:v>Qual etapa depende de outra decisão?</x:v>
      </x:c>
      <x:c r="G121" s="78" t="str">
        <x:f>IF(INDEX('Calendário'!$P$9:$P$214,MATCH($C121,'Calendário'!$B$9:$B$214,0))="","",INDEX('Calendário'!$P$9:$P$214,MATCH($C121,'Calendário'!$B$9:$B$214,0)))</x:f>
      </x:c>
      <x:c r="H121" s="75" t="str">
        <x:v>Não iniciada</x:v>
      </x:c>
      <x:c r="I121" s="75" t="str">
        <x:v>Não se aplica</x:v>
      </x:c>
      <x:c r="J121" s="75" t="str">
        <x:v>Pendente</x:v>
      </x:c>
      <x:c r="K121" s="75" t="str">
        <x:v>Pendente</x:v>
      </x:c>
      <x:c r="L121" s="87" t="str">
        <x:f>(COUNTIFS('Calendário'!$B$9:$B$214,$C121,'Calendário'!$J$9:$J$214,"Agendado")+COUNTIFS('Calendário'!$B$9:$B$214,$C121,'Calendário'!$K$9:$K$214,"Agendado")+COUNTIFS('Calendário'!$B$9:$B$214,$C121,'Calendário'!$M$9:$M$214,"Agendado")+COUNTIFS('Calendário'!$B$9:$B$214,$C121,'Calendário'!$N$9:$N$214,"Agendado")+COUNTIFS('Calendário'!$B$9:$B$214,$C121,'Calendário'!$O$9:$O$214,"Agendado")+COUNTIFS('Calendário'!$B$9:$B$214,$C121,'Calendário'!$J$9:$J$214,"Publicado")+COUNTIFS('Calendário'!$B$9:$B$214,$C121,'Calendário'!$K$9:$K$214,"Publicado")+COUNTIFS('Calendário'!$B$9:$B$214,$C121,'Calendário'!$M$9:$M$214,"Publicado")+COUNTIFS('Calendário'!$B$9:$B$214,$C121,'Calendário'!$N$9:$N$214,"Publicado")+COUNTIFS('Calendário'!$B$9:$B$214,$C121,'Calendário'!$O$9:$O$214,"Publicado"))&amp;" de "&amp;(5-COUNTIFS('Calendário'!$B$9:$B$214,$C121,'Calendário'!$N$9:$N$214,"Não se aplica")-COUNTIFS('Calendário'!$B$9:$B$214,$C121,'Calendário'!$O$9:$O$214,"Não se aplica"))</x:f>
        <x:v>0 de 3</x:v>
      </x:c>
      <x:c r="M121" s="87" t="str">
        <x:f>(COUNTIFS('Calendário'!$B$9:$B$214,$C121,'Calendário'!$J$9:$J$214,"Publicado")+COUNTIFS('Calendário'!$B$9:$B$214,$C121,'Calendário'!$K$9:$K$214,"Publicado")+COUNTIFS('Calendário'!$B$9:$B$214,$C121,'Calendário'!$M$9:$M$214,"Publicado")+COUNTIFS('Calendário'!$B$9:$B$214,$C121,'Calendário'!$N$9:$N$214,"Publicado")+COUNTIFS('Calendário'!$B$9:$B$214,$C121,'Calendário'!$O$9:$O$214,"Publicado"))&amp;" de "&amp;(5-COUNTIFS('Calendário'!$B$9:$B$214,$C121,'Calendário'!$N$9:$N$214,"Não se aplica")-COUNTIFS('Calendário'!$B$9:$B$214,$C121,'Calendário'!$O$9:$O$214,"Não se aplica"))</x:f>
        <x:v>0 de 3</x:v>
      </x:c>
      <x:c r="N121" s="75"/>
      <x:c r="O121" s="75"/>
      <x:c r="P121" s="61"/>
    </x:row>
    <x:row r="122" ht="57" customHeight="1">
      <x:c r="A122" s="61"/>
      <x:c r="B122" s="69" t="str">
        <x:f>TEXT(D122,"yyyy-mm")</x:f>
        <x:v>2027-03</x:v>
      </x:c>
      <x:c r="C122" s="72" t="str">
        <x:v>P114</x:v>
      </x:c>
      <x:c r="D122" s="90" t="n">
        <x:f>INDEX('Calendário'!$C$9:$C$214,MATCH($C122,'Calendário'!$B$9:$B$214,0))</x:f>
        <x:v>46477.5</x:v>
      </x:c>
      <x:c r="E122" s="69" t="str">
        <x:f>INDEX('Calendário'!$F$9:$F$214,MATCH($C122,'Calendário'!$B$9:$B$214,0))</x:f>
        <x:v>Reel</x:v>
      </x:c>
      <x:c r="F122" s="69" t="str">
        <x:f>INDEX('Calendário'!$G$9:$G$214,MATCH($C122,'Calendário'!$B$9:$B$214,0))</x:f>
        <x:v>Exemplo prático: sequência de execução.</x:v>
      </x:c>
      <x:c r="G122" s="78" t="str">
        <x:f>IF(INDEX('Calendário'!$P$9:$P$214,MATCH($C122,'Calendário'!$B$9:$B$214,0))="","",INDEX('Calendário'!$P$9:$P$214,MATCH($C122,'Calendário'!$B$9:$B$214,0)))</x:f>
      </x:c>
      <x:c r="H122" s="75" t="str">
        <x:v>Não iniciada</x:v>
      </x:c>
      <x:c r="I122" s="75" t="str">
        <x:v>Não iniciado</x:v>
      </x:c>
      <x:c r="J122" s="75" t="str">
        <x:v>Pendente</x:v>
      </x:c>
      <x:c r="K122" s="75" t="str">
        <x:v>Pendente</x:v>
      </x:c>
      <x:c r="L122" s="87" t="str">
        <x:f>(COUNTIFS('Calendário'!$B$9:$B$214,$C122,'Calendário'!$J$9:$J$214,"Agendado")+COUNTIFS('Calendário'!$B$9:$B$214,$C122,'Calendário'!$K$9:$K$214,"Agendado")+COUNTIFS('Calendário'!$B$9:$B$214,$C122,'Calendário'!$M$9:$M$214,"Agendado")+COUNTIFS('Calendário'!$B$9:$B$214,$C122,'Calendário'!$N$9:$N$214,"Agendado")+COUNTIFS('Calendário'!$B$9:$B$214,$C122,'Calendário'!$O$9:$O$214,"Agendado")+COUNTIFS('Calendário'!$B$9:$B$214,$C122,'Calendário'!$J$9:$J$214,"Publicado")+COUNTIFS('Calendário'!$B$9:$B$214,$C122,'Calendário'!$K$9:$K$214,"Publicado")+COUNTIFS('Calendário'!$B$9:$B$214,$C122,'Calendário'!$M$9:$M$214,"Publicado")+COUNTIFS('Calendário'!$B$9:$B$214,$C122,'Calendário'!$N$9:$N$214,"Publicado")+COUNTIFS('Calendário'!$B$9:$B$214,$C122,'Calendário'!$O$9:$O$214,"Publicado"))&amp;" de "&amp;(5-COUNTIFS('Calendário'!$B$9:$B$214,$C122,'Calendário'!$N$9:$N$214,"Não se aplica")-COUNTIFS('Calendário'!$B$9:$B$214,$C122,'Calendário'!$O$9:$O$214,"Não se aplica"))</x:f>
        <x:v>0 de 5</x:v>
      </x:c>
      <x:c r="M122" s="87" t="str">
        <x:f>(COUNTIFS('Calendário'!$B$9:$B$214,$C122,'Calendário'!$J$9:$J$214,"Publicado")+COUNTIFS('Calendário'!$B$9:$B$214,$C122,'Calendário'!$K$9:$K$214,"Publicado")+COUNTIFS('Calendário'!$B$9:$B$214,$C122,'Calendário'!$M$9:$M$214,"Publicado")+COUNTIFS('Calendário'!$B$9:$B$214,$C122,'Calendário'!$N$9:$N$214,"Publicado")+COUNTIFS('Calendário'!$B$9:$B$214,$C122,'Calendário'!$O$9:$O$214,"Publicado"))&amp;" de "&amp;(5-COUNTIFS('Calendário'!$B$9:$B$214,$C122,'Calendário'!$N$9:$N$214,"Não se aplica")-COUNTIFS('Calendário'!$B$9:$B$214,$C122,'Calendário'!$O$9:$O$214,"Não se aplica"))</x:f>
        <x:v>0 de 5</x:v>
      </x:c>
      <x:c r="N122" s="75"/>
      <x:c r="O122" s="75"/>
      <x:c r="P122" s="61"/>
    </x:row>
    <x:row r="123" ht="57" customHeight="1">
      <x:c r="A123" s="61"/>
      <x:c r="B123" s="69" t="str">
        <x:f>TEXT(D123,"yyyy-mm")</x:f>
        <x:v>2027-04</x:v>
      </x:c>
      <x:c r="C123" s="72" t="str">
        <x:v>P115</x:v>
      </x:c>
      <x:c r="D123" s="90" t="n">
        <x:f>INDEX('Calendário'!$C$9:$C$214,MATCH($C123,'Calendário'!$B$9:$B$214,0))</x:f>
        <x:v>46479.5</x:v>
      </x:c>
      <x:c r="E123" s="69" t="str">
        <x:f>INDEX('Calendário'!$F$9:$F$214,MATCH($C123,'Calendário'!$B$9:$B$214,0))</x:f>
        <x:v>Carrossel</x:v>
      </x:c>
      <x:c r="F123" s="69" t="str">
        <x:f>INDEX('Calendário'!$G$9:$G$214,MATCH($C123,'Calendário'!$B$9:$B$214,0))</x:f>
        <x:v>Checklist: sequência de execução.</x:v>
      </x:c>
      <x:c r="G123" s="78" t="str">
        <x:f>IF(INDEX('Calendário'!$P$9:$P$214,MATCH($C123,'Calendário'!$B$9:$B$214,0))="","",INDEX('Calendário'!$P$9:$P$214,MATCH($C123,'Calendário'!$B$9:$B$214,0)))</x:f>
      </x:c>
      <x:c r="H123" s="75" t="str">
        <x:v>Não iniciada</x:v>
      </x:c>
      <x:c r="I123" s="75" t="str">
        <x:v>Não se aplica</x:v>
      </x:c>
      <x:c r="J123" s="75" t="str">
        <x:v>Pendente</x:v>
      </x:c>
      <x:c r="K123" s="75" t="str">
        <x:v>Pendente</x:v>
      </x:c>
      <x:c r="L123" s="87" t="str">
        <x:f>(COUNTIFS('Calendário'!$B$9:$B$214,$C123,'Calendário'!$J$9:$J$214,"Agendado")+COUNTIFS('Calendário'!$B$9:$B$214,$C123,'Calendário'!$K$9:$K$214,"Agendado")+COUNTIFS('Calendário'!$B$9:$B$214,$C123,'Calendário'!$M$9:$M$214,"Agendado")+COUNTIFS('Calendário'!$B$9:$B$214,$C123,'Calendário'!$N$9:$N$214,"Agendado")+COUNTIFS('Calendário'!$B$9:$B$214,$C123,'Calendário'!$O$9:$O$214,"Agendado")+COUNTIFS('Calendário'!$B$9:$B$214,$C123,'Calendário'!$J$9:$J$214,"Publicado")+COUNTIFS('Calendário'!$B$9:$B$214,$C123,'Calendário'!$K$9:$K$214,"Publicado")+COUNTIFS('Calendário'!$B$9:$B$214,$C123,'Calendário'!$M$9:$M$214,"Publicado")+COUNTIFS('Calendário'!$B$9:$B$214,$C123,'Calendário'!$N$9:$N$214,"Publicado")+COUNTIFS('Calendário'!$B$9:$B$214,$C123,'Calendário'!$O$9:$O$214,"Publicado"))&amp;" de "&amp;(5-COUNTIFS('Calendário'!$B$9:$B$214,$C123,'Calendário'!$N$9:$N$214,"Não se aplica")-COUNTIFS('Calendário'!$B$9:$B$214,$C123,'Calendário'!$O$9:$O$214,"Não se aplica"))</x:f>
        <x:v>0 de 3</x:v>
      </x:c>
      <x:c r="M123" s="87" t="str">
        <x:f>(COUNTIFS('Calendário'!$B$9:$B$214,$C123,'Calendário'!$J$9:$J$214,"Publicado")+COUNTIFS('Calendário'!$B$9:$B$214,$C123,'Calendário'!$K$9:$K$214,"Publicado")+COUNTIFS('Calendário'!$B$9:$B$214,$C123,'Calendário'!$M$9:$M$214,"Publicado")+COUNTIFS('Calendário'!$B$9:$B$214,$C123,'Calendário'!$N$9:$N$214,"Publicado")+COUNTIFS('Calendário'!$B$9:$B$214,$C123,'Calendário'!$O$9:$O$214,"Publicado"))&amp;" de "&amp;(5-COUNTIFS('Calendário'!$B$9:$B$214,$C123,'Calendário'!$N$9:$N$214,"Não se aplica")-COUNTIFS('Calendário'!$B$9:$B$214,$C123,'Calendário'!$O$9:$O$214,"Não se aplica"))</x:f>
        <x:v>0 de 3</x:v>
      </x:c>
      <x:c r="N123" s="75"/>
      <x:c r="O123" s="75"/>
      <x:c r="P123" s="61"/>
    </x:row>
    <x:row r="124" ht="57" customHeight="1">
      <x:c r="A124" s="61"/>
      <x:c r="B124" s="69" t="str">
        <x:f>TEXT(D124,"yyyy-mm")</x:f>
        <x:v>2027-04</x:v>
      </x:c>
      <x:c r="C124" s="72" t="str">
        <x:v>P116</x:v>
      </x:c>
      <x:c r="D124" s="90" t="n">
        <x:f>INDEX('Calendário'!$C$9:$C$214,MATCH($C124,'Calendário'!$B$9:$B$214,0))</x:f>
        <x:v>46480.5</x:v>
      </x:c>
      <x:c r="E124" s="69" t="str">
        <x:f>INDEX('Calendário'!$F$9:$F$214,MATCH($C124,'Calendário'!$B$9:$B$214,0))</x:f>
        <x:v>Estático</x:v>
      </x:c>
      <x:c r="F124" s="69" t="str">
        <x:f>INDEX('Calendário'!$G$9:$G$214,MATCH($C124,'Calendário'!$B$9:$B$214,0))</x:f>
        <x:v>Qual dependência costuma passar
despercebida?</x:v>
      </x:c>
      <x:c r="G124" s="78" t="str">
        <x:f>IF(INDEX('Calendário'!$P$9:$P$214,MATCH($C124,'Calendário'!$B$9:$B$214,0))="","",INDEX('Calendário'!$P$9:$P$214,MATCH($C124,'Calendário'!$B$9:$B$214,0)))</x:f>
      </x:c>
      <x:c r="H124" s="75" t="str">
        <x:v>Não iniciada</x:v>
      </x:c>
      <x:c r="I124" s="75" t="str">
        <x:v>Não se aplica</x:v>
      </x:c>
      <x:c r="J124" s="75" t="str">
        <x:v>Pendente</x:v>
      </x:c>
      <x:c r="K124" s="75" t="str">
        <x:v>Pendente</x:v>
      </x:c>
      <x:c r="L124" s="87" t="str">
        <x:f>(COUNTIFS('Calendário'!$B$9:$B$214,$C124,'Calendário'!$J$9:$J$214,"Agendado")+COUNTIFS('Calendário'!$B$9:$B$214,$C124,'Calendário'!$K$9:$K$214,"Agendado")+COUNTIFS('Calendário'!$B$9:$B$214,$C124,'Calendário'!$M$9:$M$214,"Agendado")+COUNTIFS('Calendário'!$B$9:$B$214,$C124,'Calendário'!$N$9:$N$214,"Agendado")+COUNTIFS('Calendário'!$B$9:$B$214,$C124,'Calendário'!$O$9:$O$214,"Agendado")+COUNTIFS('Calendário'!$B$9:$B$214,$C124,'Calendário'!$J$9:$J$214,"Publicado")+COUNTIFS('Calendário'!$B$9:$B$214,$C124,'Calendário'!$K$9:$K$214,"Publicado")+COUNTIFS('Calendário'!$B$9:$B$214,$C124,'Calendário'!$M$9:$M$214,"Publicado")+COUNTIFS('Calendário'!$B$9:$B$214,$C124,'Calendário'!$N$9:$N$214,"Publicado")+COUNTIFS('Calendário'!$B$9:$B$214,$C124,'Calendário'!$O$9:$O$214,"Publicado"))&amp;" de "&amp;(5-COUNTIFS('Calendário'!$B$9:$B$214,$C124,'Calendário'!$N$9:$N$214,"Não se aplica")-COUNTIFS('Calendário'!$B$9:$B$214,$C124,'Calendário'!$O$9:$O$214,"Não se aplica"))</x:f>
        <x:v>0 de 3</x:v>
      </x:c>
      <x:c r="M124" s="87" t="str">
        <x:f>(COUNTIFS('Calendário'!$B$9:$B$214,$C124,'Calendário'!$J$9:$J$214,"Publicado")+COUNTIFS('Calendário'!$B$9:$B$214,$C124,'Calendário'!$K$9:$K$214,"Publicado")+COUNTIFS('Calendário'!$B$9:$B$214,$C124,'Calendário'!$M$9:$M$214,"Publicado")+COUNTIFS('Calendário'!$B$9:$B$214,$C124,'Calendário'!$N$9:$N$214,"Publicado")+COUNTIFS('Calendário'!$B$9:$B$214,$C124,'Calendário'!$O$9:$O$214,"Publicado"))&amp;" de "&amp;(5-COUNTIFS('Calendário'!$B$9:$B$214,$C124,'Calendário'!$N$9:$N$214,"Não se aplica")-COUNTIFS('Calendário'!$B$9:$B$214,$C124,'Calendário'!$O$9:$O$214,"Não se aplica"))</x:f>
        <x:v>0 de 3</x:v>
      </x:c>
      <x:c r="N124" s="75"/>
      <x:c r="O124" s="75"/>
      <x:c r="P124" s="61"/>
    </x:row>
    <x:row r="125" ht="57" customHeight="1">
      <x:c r="A125" s="61"/>
      <x:c r="B125" s="69" t="str">
        <x:f>TEXT(D125,"yyyy-mm")</x:f>
        <x:v>2027-04</x:v>
      </x:c>
      <x:c r="C125" s="72" t="str">
        <x:v>P117</x:v>
      </x:c>
      <x:c r="D125" s="90" t="n">
        <x:f>INDEX('Calendário'!$C$9:$C$214,MATCH($C125,'Calendário'!$B$9:$B$214,0))</x:f>
        <x:v>46482.5</x:v>
      </x:c>
      <x:c r="E125" s="69" t="str">
        <x:f>INDEX('Calendário'!$F$9:$F$214,MATCH($C125,'Calendário'!$B$9:$B$214,0))</x:f>
        <x:v>Carrossel</x:v>
      </x:c>
      <x:c r="F125" s="69" t="str">
        <x:f>INDEX('Calendário'!$G$9:$G$214,MATCH($C125,'Calendário'!$B$9:$B$214,0))</x:f>
        <x:v>Como os materiais chegam ao ponto de uso?</x:v>
      </x:c>
      <x:c r="G125" s="78" t="str">
        <x:f>IF(INDEX('Calendário'!$P$9:$P$214,MATCH($C125,'Calendário'!$B$9:$B$214,0))="","",INDEX('Calendário'!$P$9:$P$214,MATCH($C125,'Calendário'!$B$9:$B$214,0)))</x:f>
      </x:c>
      <x:c r="H125" s="75" t="str">
        <x:v>Não iniciada</x:v>
      </x:c>
      <x:c r="I125" s="75" t="str">
        <x:v>Não se aplica</x:v>
      </x:c>
      <x:c r="J125" s="75" t="str">
        <x:v>Pendente</x:v>
      </x:c>
      <x:c r="K125" s="75" t="str">
        <x:v>Pendente</x:v>
      </x:c>
      <x:c r="L125" s="87" t="str">
        <x:f>(COUNTIFS('Calendário'!$B$9:$B$214,$C125,'Calendário'!$J$9:$J$214,"Agendado")+COUNTIFS('Calendário'!$B$9:$B$214,$C125,'Calendário'!$K$9:$K$214,"Agendado")+COUNTIFS('Calendário'!$B$9:$B$214,$C125,'Calendário'!$M$9:$M$214,"Agendado")+COUNTIFS('Calendário'!$B$9:$B$214,$C125,'Calendário'!$N$9:$N$214,"Agendado")+COUNTIFS('Calendário'!$B$9:$B$214,$C125,'Calendário'!$O$9:$O$214,"Agendado")+COUNTIFS('Calendário'!$B$9:$B$214,$C125,'Calendário'!$J$9:$J$214,"Publicado")+COUNTIFS('Calendário'!$B$9:$B$214,$C125,'Calendário'!$K$9:$K$214,"Publicado")+COUNTIFS('Calendário'!$B$9:$B$214,$C125,'Calendário'!$M$9:$M$214,"Publicado")+COUNTIFS('Calendário'!$B$9:$B$214,$C125,'Calendário'!$N$9:$N$214,"Publicado")+COUNTIFS('Calendário'!$B$9:$B$214,$C125,'Calendário'!$O$9:$O$214,"Publicado"))&amp;" de "&amp;(5-COUNTIFS('Calendário'!$B$9:$B$214,$C125,'Calendário'!$N$9:$N$214,"Não se aplica")-COUNTIFS('Calendário'!$B$9:$B$214,$C125,'Calendário'!$O$9:$O$214,"Não se aplica"))</x:f>
        <x:v>0 de 3</x:v>
      </x:c>
      <x:c r="M125" s="87" t="str">
        <x:f>(COUNTIFS('Calendário'!$B$9:$B$214,$C125,'Calendário'!$J$9:$J$214,"Publicado")+COUNTIFS('Calendário'!$B$9:$B$214,$C125,'Calendário'!$K$9:$K$214,"Publicado")+COUNTIFS('Calendário'!$B$9:$B$214,$C125,'Calendário'!$M$9:$M$214,"Publicado")+COUNTIFS('Calendário'!$B$9:$B$214,$C125,'Calendário'!$N$9:$N$214,"Publicado")+COUNTIFS('Calendário'!$B$9:$B$214,$C125,'Calendário'!$O$9:$O$214,"Publicado"))&amp;" de "&amp;(5-COUNTIFS('Calendário'!$B$9:$B$214,$C125,'Calendário'!$N$9:$N$214,"Não se aplica")-COUNTIFS('Calendário'!$B$9:$B$214,$C125,'Calendário'!$O$9:$O$214,"Não se aplica"))</x:f>
        <x:v>0 de 3</x:v>
      </x:c>
      <x:c r="N125" s="75"/>
      <x:c r="O125" s="75"/>
      <x:c r="P125" s="61"/>
    </x:row>
    <x:row r="126" ht="57" customHeight="1">
      <x:c r="A126" s="61"/>
      <x:c r="B126" s="69" t="str">
        <x:f>TEXT(D126,"yyyy-mm")</x:f>
        <x:v>2027-04</x:v>
      </x:c>
      <x:c r="C126" s="72" t="str">
        <x:v>P118</x:v>
      </x:c>
      <x:c r="D126" s="90" t="n">
        <x:f>INDEX('Calendário'!$C$9:$C$214,MATCH($C126,'Calendário'!$B$9:$B$214,0))</x:f>
        <x:v>46484.5</x:v>
      </x:c>
      <x:c r="E126" s="69" t="str">
        <x:f>INDEX('Calendário'!$F$9:$F$214,MATCH($C126,'Calendário'!$B$9:$B$214,0))</x:f>
        <x:v>Reel</x:v>
      </x:c>
      <x:c r="F126" s="69" t="str">
        <x:f>INDEX('Calendário'!$G$9:$G$214,MATCH($C126,'Calendário'!$B$9:$B$214,0))</x:f>
        <x:v>Exemplo prático: acessos e logística.</x:v>
      </x:c>
      <x:c r="G126" s="78" t="str">
        <x:f>IF(INDEX('Calendário'!$P$9:$P$214,MATCH($C126,'Calendário'!$B$9:$B$214,0))="","",INDEX('Calendário'!$P$9:$P$214,MATCH($C126,'Calendário'!$B$9:$B$214,0)))</x:f>
      </x:c>
      <x:c r="H126" s="75" t="str">
        <x:v>Não iniciada</x:v>
      </x:c>
      <x:c r="I126" s="75" t="str">
        <x:v>Não iniciado</x:v>
      </x:c>
      <x:c r="J126" s="75" t="str">
        <x:v>Pendente</x:v>
      </x:c>
      <x:c r="K126" s="75" t="str">
        <x:v>Pendente</x:v>
      </x:c>
      <x:c r="L126" s="87" t="str">
        <x:f>(COUNTIFS('Calendário'!$B$9:$B$214,$C126,'Calendário'!$J$9:$J$214,"Agendado")+COUNTIFS('Calendário'!$B$9:$B$214,$C126,'Calendário'!$K$9:$K$214,"Agendado")+COUNTIFS('Calendário'!$B$9:$B$214,$C126,'Calendário'!$M$9:$M$214,"Agendado")+COUNTIFS('Calendário'!$B$9:$B$214,$C126,'Calendário'!$N$9:$N$214,"Agendado")+COUNTIFS('Calendário'!$B$9:$B$214,$C126,'Calendário'!$O$9:$O$214,"Agendado")+COUNTIFS('Calendário'!$B$9:$B$214,$C126,'Calendário'!$J$9:$J$214,"Publicado")+COUNTIFS('Calendário'!$B$9:$B$214,$C126,'Calendário'!$K$9:$K$214,"Publicado")+COUNTIFS('Calendário'!$B$9:$B$214,$C126,'Calendário'!$M$9:$M$214,"Publicado")+COUNTIFS('Calendário'!$B$9:$B$214,$C126,'Calendário'!$N$9:$N$214,"Publicado")+COUNTIFS('Calendário'!$B$9:$B$214,$C126,'Calendário'!$O$9:$O$214,"Publicado"))&amp;" de "&amp;(5-COUNTIFS('Calendário'!$B$9:$B$214,$C126,'Calendário'!$N$9:$N$214,"Não se aplica")-COUNTIFS('Calendário'!$B$9:$B$214,$C126,'Calendário'!$O$9:$O$214,"Não se aplica"))</x:f>
        <x:v>0 de 5</x:v>
      </x:c>
      <x:c r="M126" s="87" t="str">
        <x:f>(COUNTIFS('Calendário'!$B$9:$B$214,$C126,'Calendário'!$J$9:$J$214,"Publicado")+COUNTIFS('Calendário'!$B$9:$B$214,$C126,'Calendário'!$K$9:$K$214,"Publicado")+COUNTIFS('Calendário'!$B$9:$B$214,$C126,'Calendário'!$M$9:$M$214,"Publicado")+COUNTIFS('Calendário'!$B$9:$B$214,$C126,'Calendário'!$N$9:$N$214,"Publicado")+COUNTIFS('Calendário'!$B$9:$B$214,$C126,'Calendário'!$O$9:$O$214,"Publicado"))&amp;" de "&amp;(5-COUNTIFS('Calendário'!$B$9:$B$214,$C126,'Calendário'!$N$9:$N$214,"Não se aplica")-COUNTIFS('Calendário'!$B$9:$B$214,$C126,'Calendário'!$O$9:$O$214,"Não se aplica"))</x:f>
        <x:v>0 de 5</x:v>
      </x:c>
      <x:c r="N126" s="75"/>
      <x:c r="O126" s="75"/>
      <x:c r="P126" s="61"/>
    </x:row>
    <x:row r="127" ht="57" customHeight="1">
      <x:c r="A127" s="61"/>
      <x:c r="B127" s="69" t="str">
        <x:f>TEXT(D127,"yyyy-mm")</x:f>
        <x:v>2027-04</x:v>
      </x:c>
      <x:c r="C127" s="72" t="str">
        <x:v>P119</x:v>
      </x:c>
      <x:c r="D127" s="90" t="n">
        <x:f>INDEX('Calendário'!$C$9:$C$214,MATCH($C127,'Calendário'!$B$9:$B$214,0))</x:f>
        <x:v>46486.5</x:v>
      </x:c>
      <x:c r="E127" s="69" t="str">
        <x:f>INDEX('Calendário'!$F$9:$F$214,MATCH($C127,'Calendário'!$B$9:$B$214,0))</x:f>
        <x:v>Carrossel</x:v>
      </x:c>
      <x:c r="F127" s="69" t="str">
        <x:f>INDEX('Calendário'!$G$9:$G$214,MATCH($C127,'Calendário'!$B$9:$B$214,0))</x:f>
        <x:v>Checklist: acessos e logística.</x:v>
      </x:c>
      <x:c r="G127" s="78" t="str">
        <x:f>IF(INDEX('Calendário'!$P$9:$P$214,MATCH($C127,'Calendário'!$B$9:$B$214,0))="","",INDEX('Calendário'!$P$9:$P$214,MATCH($C127,'Calendário'!$B$9:$B$214,0)))</x:f>
      </x:c>
      <x:c r="H127" s="75" t="str">
        <x:v>Não iniciada</x:v>
      </x:c>
      <x:c r="I127" s="75" t="str">
        <x:v>Não se aplica</x:v>
      </x:c>
      <x:c r="J127" s="75" t="str">
        <x:v>Pendente</x:v>
      </x:c>
      <x:c r="K127" s="75" t="str">
        <x:v>Pendente</x:v>
      </x:c>
      <x:c r="L127" s="87" t="str">
        <x:f>(COUNTIFS('Calendário'!$B$9:$B$214,$C127,'Calendário'!$J$9:$J$214,"Agendado")+COUNTIFS('Calendário'!$B$9:$B$214,$C127,'Calendário'!$K$9:$K$214,"Agendado")+COUNTIFS('Calendário'!$B$9:$B$214,$C127,'Calendário'!$M$9:$M$214,"Agendado")+COUNTIFS('Calendário'!$B$9:$B$214,$C127,'Calendário'!$N$9:$N$214,"Agendado")+COUNTIFS('Calendário'!$B$9:$B$214,$C127,'Calendário'!$O$9:$O$214,"Agendado")+COUNTIFS('Calendário'!$B$9:$B$214,$C127,'Calendário'!$J$9:$J$214,"Publicado")+COUNTIFS('Calendário'!$B$9:$B$214,$C127,'Calendário'!$K$9:$K$214,"Publicado")+COUNTIFS('Calendário'!$B$9:$B$214,$C127,'Calendário'!$M$9:$M$214,"Publicado")+COUNTIFS('Calendário'!$B$9:$B$214,$C127,'Calendário'!$N$9:$N$214,"Publicado")+COUNTIFS('Calendário'!$B$9:$B$214,$C127,'Calendário'!$O$9:$O$214,"Publicado"))&amp;" de "&amp;(5-COUNTIFS('Calendário'!$B$9:$B$214,$C127,'Calendário'!$N$9:$N$214,"Não se aplica")-COUNTIFS('Calendário'!$B$9:$B$214,$C127,'Calendário'!$O$9:$O$214,"Não se aplica"))</x:f>
        <x:v>0 de 3</x:v>
      </x:c>
      <x:c r="M127" s="87" t="str">
        <x:f>(COUNTIFS('Calendário'!$B$9:$B$214,$C127,'Calendário'!$J$9:$J$214,"Publicado")+COUNTIFS('Calendário'!$B$9:$B$214,$C127,'Calendário'!$K$9:$K$214,"Publicado")+COUNTIFS('Calendário'!$B$9:$B$214,$C127,'Calendário'!$M$9:$M$214,"Publicado")+COUNTIFS('Calendário'!$B$9:$B$214,$C127,'Calendário'!$N$9:$N$214,"Publicado")+COUNTIFS('Calendário'!$B$9:$B$214,$C127,'Calendário'!$O$9:$O$214,"Publicado"))&amp;" de "&amp;(5-COUNTIFS('Calendário'!$B$9:$B$214,$C127,'Calendário'!$N$9:$N$214,"Não se aplica")-COUNTIFS('Calendário'!$B$9:$B$214,$C127,'Calendário'!$O$9:$O$214,"Não se aplica"))</x:f>
        <x:v>0 de 3</x:v>
      </x:c>
      <x:c r="N127" s="75"/>
      <x:c r="O127" s="75"/>
      <x:c r="P127" s="61"/>
    </x:row>
    <x:row r="128" ht="57" customHeight="1">
      <x:c r="A128" s="61"/>
      <x:c r="B128" s="69" t="str">
        <x:f>TEXT(D128,"yyyy-mm")</x:f>
        <x:v>2027-04</x:v>
      </x:c>
      <x:c r="C128" s="72" t="str">
        <x:v>P120</x:v>
      </x:c>
      <x:c r="D128" s="90" t="n">
        <x:f>INDEX('Calendário'!$C$9:$C$214,MATCH($C128,'Calendário'!$B$9:$B$214,0))</x:f>
        <x:v>46487.5</x:v>
      </x:c>
      <x:c r="E128" s="69" t="str">
        <x:f>INDEX('Calendário'!$F$9:$F$214,MATCH($C128,'Calendário'!$B$9:$B$214,0))</x:f>
        <x:v>Estático</x:v>
      </x:c>
      <x:c r="F128" s="69" t="str">
        <x:f>INDEX('Calendário'!$G$9:$G$214,MATCH($C128,'Calendário'!$B$9:$B$214,0))</x:f>
        <x:v>Qual informação de acesso faz falta no
planejamento?</x:v>
      </x:c>
      <x:c r="G128" s="78" t="str">
        <x:f>IF(INDEX('Calendário'!$P$9:$P$214,MATCH($C128,'Calendário'!$B$9:$B$214,0))="","",INDEX('Calendário'!$P$9:$P$214,MATCH($C128,'Calendário'!$B$9:$B$214,0)))</x:f>
      </x:c>
      <x:c r="H128" s="75" t="str">
        <x:v>Não iniciada</x:v>
      </x:c>
      <x:c r="I128" s="75" t="str">
        <x:v>Não se aplica</x:v>
      </x:c>
      <x:c r="J128" s="75" t="str">
        <x:v>Pendente</x:v>
      </x:c>
      <x:c r="K128" s="75" t="str">
        <x:v>Pendente</x:v>
      </x:c>
      <x:c r="L128" s="87" t="str">
        <x:f>(COUNTIFS('Calendário'!$B$9:$B$214,$C128,'Calendário'!$J$9:$J$214,"Agendado")+COUNTIFS('Calendário'!$B$9:$B$214,$C128,'Calendário'!$K$9:$K$214,"Agendado")+COUNTIFS('Calendário'!$B$9:$B$214,$C128,'Calendário'!$M$9:$M$214,"Agendado")+COUNTIFS('Calendário'!$B$9:$B$214,$C128,'Calendário'!$N$9:$N$214,"Agendado")+COUNTIFS('Calendário'!$B$9:$B$214,$C128,'Calendário'!$O$9:$O$214,"Agendado")+COUNTIFS('Calendário'!$B$9:$B$214,$C128,'Calendário'!$J$9:$J$214,"Publicado")+COUNTIFS('Calendário'!$B$9:$B$214,$C128,'Calendário'!$K$9:$K$214,"Publicado")+COUNTIFS('Calendário'!$B$9:$B$214,$C128,'Calendário'!$M$9:$M$214,"Publicado")+COUNTIFS('Calendário'!$B$9:$B$214,$C128,'Calendário'!$N$9:$N$214,"Publicado")+COUNTIFS('Calendário'!$B$9:$B$214,$C128,'Calendário'!$O$9:$O$214,"Publicado"))&amp;" de "&amp;(5-COUNTIFS('Calendário'!$B$9:$B$214,$C128,'Calendário'!$N$9:$N$214,"Não se aplica")-COUNTIFS('Calendário'!$B$9:$B$214,$C128,'Calendário'!$O$9:$O$214,"Não se aplica"))</x:f>
        <x:v>0 de 3</x:v>
      </x:c>
      <x:c r="M128" s="87" t="str">
        <x:f>(COUNTIFS('Calendário'!$B$9:$B$214,$C128,'Calendário'!$J$9:$J$214,"Publicado")+COUNTIFS('Calendário'!$B$9:$B$214,$C128,'Calendário'!$K$9:$K$214,"Publicado")+COUNTIFS('Calendário'!$B$9:$B$214,$C128,'Calendário'!$M$9:$M$214,"Publicado")+COUNTIFS('Calendário'!$B$9:$B$214,$C128,'Calendário'!$N$9:$N$214,"Publicado")+COUNTIFS('Calendário'!$B$9:$B$214,$C128,'Calendário'!$O$9:$O$214,"Publicado"))&amp;" de "&amp;(5-COUNTIFS('Calendário'!$B$9:$B$214,$C128,'Calendário'!$N$9:$N$214,"Não se aplica")-COUNTIFS('Calendário'!$B$9:$B$214,$C128,'Calendário'!$O$9:$O$214,"Não se aplica"))</x:f>
        <x:v>0 de 3</x:v>
      </x:c>
      <x:c r="N128" s="75"/>
      <x:c r="O128" s="75"/>
      <x:c r="P128" s="61"/>
    </x:row>
    <x:row r="129" ht="57" customHeight="1">
      <x:c r="A129" s="61"/>
      <x:c r="B129" s="69" t="str">
        <x:f>TEXT(D129,"yyyy-mm")</x:f>
        <x:v>2027-04</x:v>
      </x:c>
      <x:c r="C129" s="72" t="str">
        <x:v>P121</x:v>
      </x:c>
      <x:c r="D129" s="90" t="n">
        <x:f>INDEX('Calendário'!$C$9:$C$214,MATCH($C129,'Calendário'!$B$9:$B$214,0))</x:f>
        <x:v>46489.5</x:v>
      </x:c>
      <x:c r="E129" s="69" t="str">
        <x:f>INDEX('Calendário'!$F$9:$F$214,MATCH($C129,'Calendário'!$B$9:$B$214,0))</x:f>
        <x:v>Carrossel</x:v>
      </x:c>
      <x:c r="F129" s="69" t="str">
        <x:f>INDEX('Calendário'!$G$9:$G$214,MATCH($C129,'Calendário'!$B$9:$B$214,0))</x:f>
        <x:v>Quem precisa alinhar esta interface?</x:v>
      </x:c>
      <x:c r="G129" s="78" t="str">
        <x:f>IF(INDEX('Calendário'!$P$9:$P$214,MATCH($C129,'Calendário'!$B$9:$B$214,0))="","",INDEX('Calendário'!$P$9:$P$214,MATCH($C129,'Calendário'!$B$9:$B$214,0)))</x:f>
      </x:c>
      <x:c r="H129" s="75" t="str">
        <x:v>Não iniciada</x:v>
      </x:c>
      <x:c r="I129" s="75" t="str">
        <x:v>Não se aplica</x:v>
      </x:c>
      <x:c r="J129" s="75" t="str">
        <x:v>Pendente</x:v>
      </x:c>
      <x:c r="K129" s="75" t="str">
        <x:v>Pendente</x:v>
      </x:c>
      <x:c r="L129" s="87" t="str">
        <x:f>(COUNTIFS('Calendário'!$B$9:$B$214,$C129,'Calendário'!$J$9:$J$214,"Agendado")+COUNTIFS('Calendário'!$B$9:$B$214,$C129,'Calendário'!$K$9:$K$214,"Agendado")+COUNTIFS('Calendário'!$B$9:$B$214,$C129,'Calendário'!$M$9:$M$214,"Agendado")+COUNTIFS('Calendário'!$B$9:$B$214,$C129,'Calendário'!$N$9:$N$214,"Agendado")+COUNTIFS('Calendário'!$B$9:$B$214,$C129,'Calendário'!$O$9:$O$214,"Agendado")+COUNTIFS('Calendário'!$B$9:$B$214,$C129,'Calendário'!$J$9:$J$214,"Publicado")+COUNTIFS('Calendário'!$B$9:$B$214,$C129,'Calendário'!$K$9:$K$214,"Publicado")+COUNTIFS('Calendário'!$B$9:$B$214,$C129,'Calendário'!$M$9:$M$214,"Publicado")+COUNTIFS('Calendário'!$B$9:$B$214,$C129,'Calendário'!$N$9:$N$214,"Publicado")+COUNTIFS('Calendário'!$B$9:$B$214,$C129,'Calendário'!$O$9:$O$214,"Publicado"))&amp;" de "&amp;(5-COUNTIFS('Calendário'!$B$9:$B$214,$C129,'Calendário'!$N$9:$N$214,"Não se aplica")-COUNTIFS('Calendário'!$B$9:$B$214,$C129,'Calendário'!$O$9:$O$214,"Não se aplica"))</x:f>
        <x:v>0 de 3</x:v>
      </x:c>
      <x:c r="M129" s="87" t="str">
        <x:f>(COUNTIFS('Calendário'!$B$9:$B$214,$C129,'Calendário'!$J$9:$J$214,"Publicado")+COUNTIFS('Calendário'!$B$9:$B$214,$C129,'Calendário'!$K$9:$K$214,"Publicado")+COUNTIFS('Calendário'!$B$9:$B$214,$C129,'Calendário'!$M$9:$M$214,"Publicado")+COUNTIFS('Calendário'!$B$9:$B$214,$C129,'Calendário'!$N$9:$N$214,"Publicado")+COUNTIFS('Calendário'!$B$9:$B$214,$C129,'Calendário'!$O$9:$O$214,"Publicado"))&amp;" de "&amp;(5-COUNTIFS('Calendário'!$B$9:$B$214,$C129,'Calendário'!$N$9:$N$214,"Não se aplica")-COUNTIFS('Calendário'!$B$9:$B$214,$C129,'Calendário'!$O$9:$O$214,"Não se aplica"))</x:f>
        <x:v>0 de 3</x:v>
      </x:c>
      <x:c r="N129" s="75"/>
      <x:c r="O129" s="75"/>
      <x:c r="P129" s="61"/>
    </x:row>
    <x:row r="130" ht="57" customHeight="1">
      <x:c r="A130" s="61"/>
      <x:c r="B130" s="69" t="str">
        <x:f>TEXT(D130,"yyyy-mm")</x:f>
        <x:v>2027-04</x:v>
      </x:c>
      <x:c r="C130" s="72" t="str">
        <x:v>P122</x:v>
      </x:c>
      <x:c r="D130" s="90" t="n">
        <x:f>INDEX('Calendário'!$C$9:$C$214,MATCH($C130,'Calendário'!$B$9:$B$214,0))</x:f>
        <x:v>46491.5</x:v>
      </x:c>
      <x:c r="E130" s="69" t="str">
        <x:f>INDEX('Calendário'!$F$9:$F$214,MATCH($C130,'Calendário'!$B$9:$B$214,0))</x:f>
        <x:v>Reel</x:v>
      </x:c>
      <x:c r="F130" s="69" t="str">
        <x:f>INDEX('Calendário'!$G$9:$G$214,MATCH($C130,'Calendário'!$B$9:$B$214,0))</x:f>
        <x:v>Exemplo prático: interfaces de execução.</x:v>
      </x:c>
      <x:c r="G130" s="78" t="str">
        <x:f>IF(INDEX('Calendário'!$P$9:$P$214,MATCH($C130,'Calendário'!$B$9:$B$214,0))="","",INDEX('Calendário'!$P$9:$P$214,MATCH($C130,'Calendário'!$B$9:$B$214,0)))</x:f>
      </x:c>
      <x:c r="H130" s="75" t="str">
        <x:v>Não iniciada</x:v>
      </x:c>
      <x:c r="I130" s="75" t="str">
        <x:v>Não iniciado</x:v>
      </x:c>
      <x:c r="J130" s="75" t="str">
        <x:v>Pendente</x:v>
      </x:c>
      <x:c r="K130" s="75" t="str">
        <x:v>Pendente</x:v>
      </x:c>
      <x:c r="L130" s="87" t="str">
        <x:f>(COUNTIFS('Calendário'!$B$9:$B$214,$C130,'Calendário'!$J$9:$J$214,"Agendado")+COUNTIFS('Calendário'!$B$9:$B$214,$C130,'Calendário'!$K$9:$K$214,"Agendado")+COUNTIFS('Calendário'!$B$9:$B$214,$C130,'Calendário'!$M$9:$M$214,"Agendado")+COUNTIFS('Calendário'!$B$9:$B$214,$C130,'Calendário'!$N$9:$N$214,"Agendado")+COUNTIFS('Calendário'!$B$9:$B$214,$C130,'Calendário'!$O$9:$O$214,"Agendado")+COUNTIFS('Calendário'!$B$9:$B$214,$C130,'Calendário'!$J$9:$J$214,"Publicado")+COUNTIFS('Calendário'!$B$9:$B$214,$C130,'Calendário'!$K$9:$K$214,"Publicado")+COUNTIFS('Calendário'!$B$9:$B$214,$C130,'Calendário'!$M$9:$M$214,"Publicado")+COUNTIFS('Calendário'!$B$9:$B$214,$C130,'Calendário'!$N$9:$N$214,"Publicado")+COUNTIFS('Calendário'!$B$9:$B$214,$C130,'Calendário'!$O$9:$O$214,"Publicado"))&amp;" de "&amp;(5-COUNTIFS('Calendário'!$B$9:$B$214,$C130,'Calendário'!$N$9:$N$214,"Não se aplica")-COUNTIFS('Calendário'!$B$9:$B$214,$C130,'Calendário'!$O$9:$O$214,"Não se aplica"))</x:f>
        <x:v>0 de 5</x:v>
      </x:c>
      <x:c r="M130" s="87" t="str">
        <x:f>(COUNTIFS('Calendário'!$B$9:$B$214,$C130,'Calendário'!$J$9:$J$214,"Publicado")+COUNTIFS('Calendário'!$B$9:$B$214,$C130,'Calendário'!$K$9:$K$214,"Publicado")+COUNTIFS('Calendário'!$B$9:$B$214,$C130,'Calendário'!$M$9:$M$214,"Publicado")+COUNTIFS('Calendário'!$B$9:$B$214,$C130,'Calendário'!$N$9:$N$214,"Publicado")+COUNTIFS('Calendário'!$B$9:$B$214,$C130,'Calendário'!$O$9:$O$214,"Publicado"))&amp;" de "&amp;(5-COUNTIFS('Calendário'!$B$9:$B$214,$C130,'Calendário'!$N$9:$N$214,"Não se aplica")-COUNTIFS('Calendário'!$B$9:$B$214,$C130,'Calendário'!$O$9:$O$214,"Não se aplica"))</x:f>
        <x:v>0 de 5</x:v>
      </x:c>
      <x:c r="N130" s="75"/>
      <x:c r="O130" s="75"/>
      <x:c r="P130" s="61"/>
    </x:row>
    <x:row r="131" ht="57" customHeight="1">
      <x:c r="A131" s="61"/>
      <x:c r="B131" s="69" t="str">
        <x:f>TEXT(D131,"yyyy-mm")</x:f>
        <x:v>2027-04</x:v>
      </x:c>
      <x:c r="C131" s="72" t="str">
        <x:v>P123</x:v>
      </x:c>
      <x:c r="D131" s="90" t="n">
        <x:f>INDEX('Calendário'!$C$9:$C$214,MATCH($C131,'Calendário'!$B$9:$B$214,0))</x:f>
        <x:v>46493.5</x:v>
      </x:c>
      <x:c r="E131" s="69" t="str">
        <x:f>INDEX('Calendário'!$F$9:$F$214,MATCH($C131,'Calendário'!$B$9:$B$214,0))</x:f>
        <x:v>Carrossel</x:v>
      </x:c>
      <x:c r="F131" s="69" t="str">
        <x:f>INDEX('Calendário'!$G$9:$G$214,MATCH($C131,'Calendário'!$B$9:$B$214,0))</x:f>
        <x:v>Checklist: interfaces de execução.</x:v>
      </x:c>
      <x:c r="G131" s="78" t="str">
        <x:f>IF(INDEX('Calendário'!$P$9:$P$214,MATCH($C131,'Calendário'!$B$9:$B$214,0))="","",INDEX('Calendário'!$P$9:$P$214,MATCH($C131,'Calendário'!$B$9:$B$214,0)))</x:f>
      </x:c>
      <x:c r="H131" s="75" t="str">
        <x:v>Não iniciada</x:v>
      </x:c>
      <x:c r="I131" s="75" t="str">
        <x:v>Não se aplica</x:v>
      </x:c>
      <x:c r="J131" s="75" t="str">
        <x:v>Pendente</x:v>
      </x:c>
      <x:c r="K131" s="75" t="str">
        <x:v>Pendente</x:v>
      </x:c>
      <x:c r="L131" s="87" t="str">
        <x:f>(COUNTIFS('Calendário'!$B$9:$B$214,$C131,'Calendário'!$J$9:$J$214,"Agendado")+COUNTIFS('Calendário'!$B$9:$B$214,$C131,'Calendário'!$K$9:$K$214,"Agendado")+COUNTIFS('Calendário'!$B$9:$B$214,$C131,'Calendário'!$M$9:$M$214,"Agendado")+COUNTIFS('Calendário'!$B$9:$B$214,$C131,'Calendário'!$N$9:$N$214,"Agendado")+COUNTIFS('Calendário'!$B$9:$B$214,$C131,'Calendário'!$O$9:$O$214,"Agendado")+COUNTIFS('Calendário'!$B$9:$B$214,$C131,'Calendário'!$J$9:$J$214,"Publicado")+COUNTIFS('Calendário'!$B$9:$B$214,$C131,'Calendário'!$K$9:$K$214,"Publicado")+COUNTIFS('Calendário'!$B$9:$B$214,$C131,'Calendário'!$M$9:$M$214,"Publicado")+COUNTIFS('Calendário'!$B$9:$B$214,$C131,'Calendário'!$N$9:$N$214,"Publicado")+COUNTIFS('Calendário'!$B$9:$B$214,$C131,'Calendário'!$O$9:$O$214,"Publicado"))&amp;" de "&amp;(5-COUNTIFS('Calendário'!$B$9:$B$214,$C131,'Calendário'!$N$9:$N$214,"Não se aplica")-COUNTIFS('Calendário'!$B$9:$B$214,$C131,'Calendário'!$O$9:$O$214,"Não se aplica"))</x:f>
        <x:v>0 de 3</x:v>
      </x:c>
      <x:c r="M131" s="87" t="str">
        <x:f>(COUNTIFS('Calendário'!$B$9:$B$214,$C131,'Calendário'!$J$9:$J$214,"Publicado")+COUNTIFS('Calendário'!$B$9:$B$214,$C131,'Calendário'!$K$9:$K$214,"Publicado")+COUNTIFS('Calendário'!$B$9:$B$214,$C131,'Calendário'!$M$9:$M$214,"Publicado")+COUNTIFS('Calendário'!$B$9:$B$214,$C131,'Calendário'!$N$9:$N$214,"Publicado")+COUNTIFS('Calendário'!$B$9:$B$214,$C131,'Calendário'!$O$9:$O$214,"Publicado"))&amp;" de "&amp;(5-COUNTIFS('Calendário'!$B$9:$B$214,$C131,'Calendário'!$N$9:$N$214,"Não se aplica")-COUNTIFS('Calendário'!$B$9:$B$214,$C131,'Calendário'!$O$9:$O$214,"Não se aplica"))</x:f>
        <x:v>0 de 3</x:v>
      </x:c>
      <x:c r="N131" s="75"/>
      <x:c r="O131" s="75"/>
      <x:c r="P131" s="61"/>
    </x:row>
    <x:row r="132" ht="57" customHeight="1">
      <x:c r="A132" s="61"/>
      <x:c r="B132" s="69" t="str">
        <x:f>TEXT(D132,"yyyy-mm")</x:f>
        <x:v>2027-04</x:v>
      </x:c>
      <x:c r="C132" s="72" t="str">
        <x:v>P124</x:v>
      </x:c>
      <x:c r="D132" s="90" t="n">
        <x:f>INDEX('Calendário'!$C$9:$C$214,MATCH($C132,'Calendário'!$B$9:$B$214,0))</x:f>
        <x:v>46494.5</x:v>
      </x:c>
      <x:c r="E132" s="69" t="str">
        <x:f>INDEX('Calendário'!$F$9:$F$214,MATCH($C132,'Calendário'!$B$9:$B$214,0))</x:f>
        <x:v>Estático</x:v>
      </x:c>
      <x:c r="F132" s="69" t="str">
        <x:f>INDEX('Calendário'!$G$9:$G$214,MATCH($C132,'Calendário'!$B$9:$B$214,0))</x:f>
        <x:v>Em qual interface sua equipe mais precisa
se alinhar?</x:v>
      </x:c>
      <x:c r="G132" s="78" t="str">
        <x:f>IF(INDEX('Calendário'!$P$9:$P$214,MATCH($C132,'Calendário'!$B$9:$B$214,0))="","",INDEX('Calendário'!$P$9:$P$214,MATCH($C132,'Calendário'!$B$9:$B$214,0)))</x:f>
      </x:c>
      <x:c r="H132" s="75" t="str">
        <x:v>Não iniciada</x:v>
      </x:c>
      <x:c r="I132" s="75" t="str">
        <x:v>Não se aplica</x:v>
      </x:c>
      <x:c r="J132" s="75" t="str">
        <x:v>Pendente</x:v>
      </x:c>
      <x:c r="K132" s="75" t="str">
        <x:v>Pendente</x:v>
      </x:c>
      <x:c r="L132" s="87" t="str">
        <x:f>(COUNTIFS('Calendário'!$B$9:$B$214,$C132,'Calendário'!$J$9:$J$214,"Agendado")+COUNTIFS('Calendário'!$B$9:$B$214,$C132,'Calendário'!$K$9:$K$214,"Agendado")+COUNTIFS('Calendário'!$B$9:$B$214,$C132,'Calendário'!$M$9:$M$214,"Agendado")+COUNTIFS('Calendário'!$B$9:$B$214,$C132,'Calendário'!$N$9:$N$214,"Agendado")+COUNTIFS('Calendário'!$B$9:$B$214,$C132,'Calendário'!$O$9:$O$214,"Agendado")+COUNTIFS('Calendário'!$B$9:$B$214,$C132,'Calendário'!$J$9:$J$214,"Publicado")+COUNTIFS('Calendário'!$B$9:$B$214,$C132,'Calendário'!$K$9:$K$214,"Publicado")+COUNTIFS('Calendário'!$B$9:$B$214,$C132,'Calendário'!$M$9:$M$214,"Publicado")+COUNTIFS('Calendário'!$B$9:$B$214,$C132,'Calendário'!$N$9:$N$214,"Publicado")+COUNTIFS('Calendário'!$B$9:$B$214,$C132,'Calendário'!$O$9:$O$214,"Publicado"))&amp;" de "&amp;(5-COUNTIFS('Calendário'!$B$9:$B$214,$C132,'Calendário'!$N$9:$N$214,"Não se aplica")-COUNTIFS('Calendário'!$B$9:$B$214,$C132,'Calendário'!$O$9:$O$214,"Não se aplica"))</x:f>
        <x:v>0 de 3</x:v>
      </x:c>
      <x:c r="M132" s="87" t="str">
        <x:f>(COUNTIFS('Calendário'!$B$9:$B$214,$C132,'Calendário'!$J$9:$J$214,"Publicado")+COUNTIFS('Calendário'!$B$9:$B$214,$C132,'Calendário'!$K$9:$K$214,"Publicado")+COUNTIFS('Calendário'!$B$9:$B$214,$C132,'Calendário'!$M$9:$M$214,"Publicado")+COUNTIFS('Calendário'!$B$9:$B$214,$C132,'Calendário'!$N$9:$N$214,"Publicado")+COUNTIFS('Calendário'!$B$9:$B$214,$C132,'Calendário'!$O$9:$O$214,"Publicado"))&amp;" de "&amp;(5-COUNTIFS('Calendário'!$B$9:$B$214,$C132,'Calendário'!$N$9:$N$214,"Não se aplica")-COUNTIFS('Calendário'!$B$9:$B$214,$C132,'Calendário'!$O$9:$O$214,"Não se aplica"))</x:f>
        <x:v>0 de 3</x:v>
      </x:c>
      <x:c r="N132" s="75"/>
      <x:c r="O132" s="75"/>
      <x:c r="P132" s="61"/>
    </x:row>
    <x:row r="133" ht="57" customHeight="1">
      <x:c r="A133" s="61"/>
      <x:c r="B133" s="69" t="str">
        <x:f>TEXT(D133,"yyyy-mm")</x:f>
        <x:v>2027-04</x:v>
      </x:c>
      <x:c r="C133" s="72" t="str">
        <x:v>P125</x:v>
      </x:c>
      <x:c r="D133" s="90" t="n">
        <x:f>INDEX('Calendário'!$C$9:$C$214,MATCH($C133,'Calendário'!$B$9:$B$214,0))</x:f>
        <x:v>46496.5</x:v>
      </x:c>
      <x:c r="E133" s="69" t="str">
        <x:f>INDEX('Calendário'!$F$9:$F$214,MATCH($C133,'Calendário'!$B$9:$B$214,0))</x:f>
        <x:v>Carrossel</x:v>
      </x:c>
      <x:c r="F133" s="69" t="str">
        <x:f>INDEX('Calendário'!$G$9:$G$214,MATCH($C133,'Calendário'!$B$9:$B$214,0))</x:f>
        <x:v>A quantidade se refere a qual conjunto de
elementos?</x:v>
      </x:c>
      <x:c r="G133" s="78" t="str">
        <x:f>IF(INDEX('Calendário'!$P$9:$P$214,MATCH($C133,'Calendário'!$B$9:$B$214,0))="","",INDEX('Calendário'!$P$9:$P$214,MATCH($C133,'Calendário'!$B$9:$B$214,0)))</x:f>
      </x:c>
      <x:c r="H133" s="75" t="str">
        <x:v>Não iniciada</x:v>
      </x:c>
      <x:c r="I133" s="75" t="str">
        <x:v>Não se aplica</x:v>
      </x:c>
      <x:c r="J133" s="75" t="str">
        <x:v>Pendente</x:v>
      </x:c>
      <x:c r="K133" s="75" t="str">
        <x:v>Pendente</x:v>
      </x:c>
      <x:c r="L133" s="87" t="str">
        <x:f>(COUNTIFS('Calendário'!$B$9:$B$214,$C133,'Calendário'!$J$9:$J$214,"Agendado")+COUNTIFS('Calendário'!$B$9:$B$214,$C133,'Calendário'!$K$9:$K$214,"Agendado")+COUNTIFS('Calendário'!$B$9:$B$214,$C133,'Calendário'!$M$9:$M$214,"Agendado")+COUNTIFS('Calendário'!$B$9:$B$214,$C133,'Calendário'!$N$9:$N$214,"Agendado")+COUNTIFS('Calendário'!$B$9:$B$214,$C133,'Calendário'!$O$9:$O$214,"Agendado")+COUNTIFS('Calendário'!$B$9:$B$214,$C133,'Calendário'!$J$9:$J$214,"Publicado")+COUNTIFS('Calendário'!$B$9:$B$214,$C133,'Calendário'!$K$9:$K$214,"Publicado")+COUNTIFS('Calendário'!$B$9:$B$214,$C133,'Calendário'!$M$9:$M$214,"Publicado")+COUNTIFS('Calendário'!$B$9:$B$214,$C133,'Calendário'!$N$9:$N$214,"Publicado")+COUNTIFS('Calendário'!$B$9:$B$214,$C133,'Calendário'!$O$9:$O$214,"Publicado"))&amp;" de "&amp;(5-COUNTIFS('Calendário'!$B$9:$B$214,$C133,'Calendário'!$N$9:$N$214,"Não se aplica")-COUNTIFS('Calendário'!$B$9:$B$214,$C133,'Calendário'!$O$9:$O$214,"Não se aplica"))</x:f>
        <x:v>0 de 3</x:v>
      </x:c>
      <x:c r="M133" s="87" t="str">
        <x:f>(COUNTIFS('Calendário'!$B$9:$B$214,$C133,'Calendário'!$J$9:$J$214,"Publicado")+COUNTIFS('Calendário'!$B$9:$B$214,$C133,'Calendário'!$K$9:$K$214,"Publicado")+COUNTIFS('Calendário'!$B$9:$B$214,$C133,'Calendário'!$M$9:$M$214,"Publicado")+COUNTIFS('Calendário'!$B$9:$B$214,$C133,'Calendário'!$N$9:$N$214,"Publicado")+COUNTIFS('Calendário'!$B$9:$B$214,$C133,'Calendário'!$O$9:$O$214,"Publicado"))&amp;" de "&amp;(5-COUNTIFS('Calendário'!$B$9:$B$214,$C133,'Calendário'!$N$9:$N$214,"Não se aplica")-COUNTIFS('Calendário'!$B$9:$B$214,$C133,'Calendário'!$O$9:$O$214,"Não se aplica"))</x:f>
        <x:v>0 de 3</x:v>
      </x:c>
      <x:c r="N133" s="75"/>
      <x:c r="O133" s="75"/>
      <x:c r="P133" s="61"/>
    </x:row>
    <x:row r="134" ht="57" customHeight="1">
      <x:c r="A134" s="61"/>
      <x:c r="B134" s="69" t="str">
        <x:f>TEXT(D134,"yyyy-mm")</x:f>
        <x:v>2027-04</x:v>
      </x:c>
      <x:c r="C134" s="72" t="str">
        <x:v>P126</x:v>
      </x:c>
      <x:c r="D134" s="90" t="n">
        <x:f>INDEX('Calendário'!$C$9:$C$214,MATCH($C134,'Calendário'!$B$9:$B$214,0))</x:f>
        <x:v>46498.5</x:v>
      </x:c>
      <x:c r="E134" s="69" t="str">
        <x:f>INDEX('Calendário'!$F$9:$F$214,MATCH($C134,'Calendário'!$B$9:$B$214,0))</x:f>
        <x:v>Reel</x:v>
      </x:c>
      <x:c r="F134" s="69" t="str">
        <x:f>INDEX('Calendário'!$G$9:$G$214,MATCH($C134,'Calendário'!$B$9:$B$214,0))</x:f>
        <x:v>Exemplo prático: quantidades e escopo.</x:v>
      </x:c>
      <x:c r="G134" s="78" t="str">
        <x:f>IF(INDEX('Calendário'!$P$9:$P$214,MATCH($C134,'Calendário'!$B$9:$B$214,0))="","",INDEX('Calendário'!$P$9:$P$214,MATCH($C134,'Calendário'!$B$9:$B$214,0)))</x:f>
      </x:c>
      <x:c r="H134" s="75" t="str">
        <x:v>Não iniciada</x:v>
      </x:c>
      <x:c r="I134" s="75" t="str">
        <x:v>Não iniciado</x:v>
      </x:c>
      <x:c r="J134" s="75" t="str">
        <x:v>Pendente</x:v>
      </x:c>
      <x:c r="K134" s="75" t="str">
        <x:v>Pendente</x:v>
      </x:c>
      <x:c r="L134" s="87" t="str">
        <x:f>(COUNTIFS('Calendário'!$B$9:$B$214,$C134,'Calendário'!$J$9:$J$214,"Agendado")+COUNTIFS('Calendário'!$B$9:$B$214,$C134,'Calendário'!$K$9:$K$214,"Agendado")+COUNTIFS('Calendário'!$B$9:$B$214,$C134,'Calendário'!$M$9:$M$214,"Agendado")+COUNTIFS('Calendário'!$B$9:$B$214,$C134,'Calendário'!$N$9:$N$214,"Agendado")+COUNTIFS('Calendário'!$B$9:$B$214,$C134,'Calendário'!$O$9:$O$214,"Agendado")+COUNTIFS('Calendário'!$B$9:$B$214,$C134,'Calendário'!$J$9:$J$214,"Publicado")+COUNTIFS('Calendário'!$B$9:$B$214,$C134,'Calendário'!$K$9:$K$214,"Publicado")+COUNTIFS('Calendário'!$B$9:$B$214,$C134,'Calendário'!$M$9:$M$214,"Publicado")+COUNTIFS('Calendário'!$B$9:$B$214,$C134,'Calendário'!$N$9:$N$214,"Publicado")+COUNTIFS('Calendário'!$B$9:$B$214,$C134,'Calendário'!$O$9:$O$214,"Publicado"))&amp;" de "&amp;(5-COUNTIFS('Calendário'!$B$9:$B$214,$C134,'Calendário'!$N$9:$N$214,"Não se aplica")-COUNTIFS('Calendário'!$B$9:$B$214,$C134,'Calendário'!$O$9:$O$214,"Não se aplica"))</x:f>
        <x:v>0 de 5</x:v>
      </x:c>
      <x:c r="M134" s="87" t="str">
        <x:f>(COUNTIFS('Calendário'!$B$9:$B$214,$C134,'Calendário'!$J$9:$J$214,"Publicado")+COUNTIFS('Calendário'!$B$9:$B$214,$C134,'Calendário'!$K$9:$K$214,"Publicado")+COUNTIFS('Calendário'!$B$9:$B$214,$C134,'Calendário'!$M$9:$M$214,"Publicado")+COUNTIFS('Calendário'!$B$9:$B$214,$C134,'Calendário'!$N$9:$N$214,"Publicado")+COUNTIFS('Calendário'!$B$9:$B$214,$C134,'Calendário'!$O$9:$O$214,"Publicado"))&amp;" de "&amp;(5-COUNTIFS('Calendário'!$B$9:$B$214,$C134,'Calendário'!$N$9:$N$214,"Não se aplica")-COUNTIFS('Calendário'!$B$9:$B$214,$C134,'Calendário'!$O$9:$O$214,"Não se aplica"))</x:f>
        <x:v>0 de 5</x:v>
      </x:c>
      <x:c r="N134" s="75"/>
      <x:c r="O134" s="75"/>
      <x:c r="P134" s="61"/>
    </x:row>
    <x:row r="135" ht="57" customHeight="1">
      <x:c r="A135" s="61"/>
      <x:c r="B135" s="69" t="str">
        <x:f>TEXT(D135,"yyyy-mm")</x:f>
        <x:v>2027-04</x:v>
      </x:c>
      <x:c r="C135" s="72" t="str">
        <x:v>P127</x:v>
      </x:c>
      <x:c r="D135" s="90" t="n">
        <x:f>INDEX('Calendário'!$C$9:$C$214,MATCH($C135,'Calendário'!$B$9:$B$214,0))</x:f>
        <x:v>46500.5</x:v>
      </x:c>
      <x:c r="E135" s="69" t="str">
        <x:f>INDEX('Calendário'!$F$9:$F$214,MATCH($C135,'Calendário'!$B$9:$B$214,0))</x:f>
        <x:v>Carrossel</x:v>
      </x:c>
      <x:c r="F135" s="69" t="str">
        <x:f>INDEX('Calendário'!$G$9:$G$214,MATCH($C135,'Calendário'!$B$9:$B$214,0))</x:f>
        <x:v>Checklist: quantidades e escopo.</x:v>
      </x:c>
      <x:c r="G135" s="78" t="str">
        <x:f>IF(INDEX('Calendário'!$P$9:$P$214,MATCH($C135,'Calendário'!$B$9:$B$214,0))="","",INDEX('Calendário'!$P$9:$P$214,MATCH($C135,'Calendário'!$B$9:$B$214,0)))</x:f>
      </x:c>
      <x:c r="H135" s="75" t="str">
        <x:v>Não iniciada</x:v>
      </x:c>
      <x:c r="I135" s="75" t="str">
        <x:v>Não se aplica</x:v>
      </x:c>
      <x:c r="J135" s="75" t="str">
        <x:v>Pendente</x:v>
      </x:c>
      <x:c r="K135" s="75" t="str">
        <x:v>Pendente</x:v>
      </x:c>
      <x:c r="L135" s="87" t="str">
        <x:f>(COUNTIFS('Calendário'!$B$9:$B$214,$C135,'Calendário'!$J$9:$J$214,"Agendado")+COUNTIFS('Calendário'!$B$9:$B$214,$C135,'Calendário'!$K$9:$K$214,"Agendado")+COUNTIFS('Calendário'!$B$9:$B$214,$C135,'Calendário'!$M$9:$M$214,"Agendado")+COUNTIFS('Calendário'!$B$9:$B$214,$C135,'Calendário'!$N$9:$N$214,"Agendado")+COUNTIFS('Calendário'!$B$9:$B$214,$C135,'Calendário'!$O$9:$O$214,"Agendado")+COUNTIFS('Calendário'!$B$9:$B$214,$C135,'Calendário'!$J$9:$J$214,"Publicado")+COUNTIFS('Calendário'!$B$9:$B$214,$C135,'Calendário'!$K$9:$K$214,"Publicado")+COUNTIFS('Calendário'!$B$9:$B$214,$C135,'Calendário'!$M$9:$M$214,"Publicado")+COUNTIFS('Calendário'!$B$9:$B$214,$C135,'Calendário'!$N$9:$N$214,"Publicado")+COUNTIFS('Calendário'!$B$9:$B$214,$C135,'Calendário'!$O$9:$O$214,"Publicado"))&amp;" de "&amp;(5-COUNTIFS('Calendário'!$B$9:$B$214,$C135,'Calendário'!$N$9:$N$214,"Não se aplica")-COUNTIFS('Calendário'!$B$9:$B$214,$C135,'Calendário'!$O$9:$O$214,"Não se aplica"))</x:f>
        <x:v>0 de 3</x:v>
      </x:c>
      <x:c r="M135" s="87" t="str">
        <x:f>(COUNTIFS('Calendário'!$B$9:$B$214,$C135,'Calendário'!$J$9:$J$214,"Publicado")+COUNTIFS('Calendário'!$B$9:$B$214,$C135,'Calendário'!$K$9:$K$214,"Publicado")+COUNTIFS('Calendário'!$B$9:$B$214,$C135,'Calendário'!$M$9:$M$214,"Publicado")+COUNTIFS('Calendário'!$B$9:$B$214,$C135,'Calendário'!$N$9:$N$214,"Publicado")+COUNTIFS('Calendário'!$B$9:$B$214,$C135,'Calendário'!$O$9:$O$214,"Publicado"))&amp;" de "&amp;(5-COUNTIFS('Calendário'!$B$9:$B$214,$C135,'Calendário'!$N$9:$N$214,"Não se aplica")-COUNTIFS('Calendário'!$B$9:$B$214,$C135,'Calendário'!$O$9:$O$214,"Não se aplica"))</x:f>
        <x:v>0 de 3</x:v>
      </x:c>
      <x:c r="N135" s="75"/>
      <x:c r="O135" s="75"/>
      <x:c r="P135" s="61"/>
    </x:row>
    <x:row r="136" ht="57" customHeight="1">
      <x:c r="A136" s="61"/>
      <x:c r="B136" s="69" t="str">
        <x:f>TEXT(D136,"yyyy-mm")</x:f>
        <x:v>2027-04</x:v>
      </x:c>
      <x:c r="C136" s="72" t="str">
        <x:v>P128</x:v>
      </x:c>
      <x:c r="D136" s="90" t="n">
        <x:f>INDEX('Calendário'!$C$9:$C$214,MATCH($C136,'Calendário'!$B$9:$B$214,0))</x:f>
        <x:v>46501.5</x:v>
      </x:c>
      <x:c r="E136" s="69" t="str">
        <x:f>INDEX('Calendário'!$F$9:$F$214,MATCH($C136,'Calendário'!$B$9:$B$214,0))</x:f>
        <x:v>Estático</x:v>
      </x:c>
      <x:c r="F136" s="69" t="str">
        <x:f>INDEX('Calendário'!$G$9:$G$214,MATCH($C136,'Calendário'!$B$9:$B$214,0))</x:f>
        <x:v>Converse com a Arxis sobre quantidades e
escopo.</x:v>
      </x:c>
      <x:c r="G136" s="78" t="str">
        <x:f>IF(INDEX('Calendário'!$P$9:$P$214,MATCH($C136,'Calendário'!$B$9:$B$214,0))="","",INDEX('Calendário'!$P$9:$P$214,MATCH($C136,'Calendário'!$B$9:$B$214,0)))</x:f>
      </x:c>
      <x:c r="H136" s="75" t="str">
        <x:v>Não iniciada</x:v>
      </x:c>
      <x:c r="I136" s="75" t="str">
        <x:v>Não se aplica</x:v>
      </x:c>
      <x:c r="J136" s="75" t="str">
        <x:v>Pendente</x:v>
      </x:c>
      <x:c r="K136" s="75" t="str">
        <x:v>Pendente</x:v>
      </x:c>
      <x:c r="L136" s="87" t="str">
        <x:f>(COUNTIFS('Calendário'!$B$9:$B$214,$C136,'Calendário'!$J$9:$J$214,"Agendado")+COUNTIFS('Calendário'!$B$9:$B$214,$C136,'Calendário'!$K$9:$K$214,"Agendado")+COUNTIFS('Calendário'!$B$9:$B$214,$C136,'Calendário'!$M$9:$M$214,"Agendado")+COUNTIFS('Calendário'!$B$9:$B$214,$C136,'Calendário'!$N$9:$N$214,"Agendado")+COUNTIFS('Calendário'!$B$9:$B$214,$C136,'Calendário'!$O$9:$O$214,"Agendado")+COUNTIFS('Calendário'!$B$9:$B$214,$C136,'Calendário'!$J$9:$J$214,"Publicado")+COUNTIFS('Calendário'!$B$9:$B$214,$C136,'Calendário'!$K$9:$K$214,"Publicado")+COUNTIFS('Calendário'!$B$9:$B$214,$C136,'Calendário'!$M$9:$M$214,"Publicado")+COUNTIFS('Calendário'!$B$9:$B$214,$C136,'Calendário'!$N$9:$N$214,"Publicado")+COUNTIFS('Calendário'!$B$9:$B$214,$C136,'Calendário'!$O$9:$O$214,"Publicado"))&amp;" de "&amp;(5-COUNTIFS('Calendário'!$B$9:$B$214,$C136,'Calendário'!$N$9:$N$214,"Não se aplica")-COUNTIFS('Calendário'!$B$9:$B$214,$C136,'Calendário'!$O$9:$O$214,"Não se aplica"))</x:f>
        <x:v>0 de 3</x:v>
      </x:c>
      <x:c r="M136" s="87" t="str">
        <x:f>(COUNTIFS('Calendário'!$B$9:$B$214,$C136,'Calendário'!$J$9:$J$214,"Publicado")+COUNTIFS('Calendário'!$B$9:$B$214,$C136,'Calendário'!$K$9:$K$214,"Publicado")+COUNTIFS('Calendário'!$B$9:$B$214,$C136,'Calendário'!$M$9:$M$214,"Publicado")+COUNTIFS('Calendário'!$B$9:$B$214,$C136,'Calendário'!$N$9:$N$214,"Publicado")+COUNTIFS('Calendário'!$B$9:$B$214,$C136,'Calendário'!$O$9:$O$214,"Publicado"))&amp;" de "&amp;(5-COUNTIFS('Calendário'!$B$9:$B$214,$C136,'Calendário'!$N$9:$N$214,"Não se aplica")-COUNTIFS('Calendário'!$B$9:$B$214,$C136,'Calendário'!$O$9:$O$214,"Não se aplica"))</x:f>
        <x:v>0 de 3</x:v>
      </x:c>
      <x:c r="N136" s="75"/>
      <x:c r="O136" s="75"/>
      <x:c r="P136" s="61"/>
    </x:row>
    <x:row r="137" ht="57" customHeight="1">
      <x:c r="A137" s="61"/>
      <x:c r="B137" s="69" t="str">
        <x:f>TEXT(D137,"yyyy-mm")</x:f>
        <x:v>2027-04</x:v>
      </x:c>
      <x:c r="C137" s="72" t="str">
        <x:v>P129</x:v>
      </x:c>
      <x:c r="D137" s="90" t="n">
        <x:f>INDEX('Calendário'!$C$9:$C$214,MATCH($C137,'Calendário'!$B$9:$B$214,0))</x:f>
        <x:v>46503.5</x:v>
      </x:c>
      <x:c r="E137" s="69" t="str">
        <x:f>INDEX('Calendário'!$F$9:$F$214,MATCH($C137,'Calendário'!$B$9:$B$214,0))</x:f>
        <x:v>Carrossel</x:v>
      </x:c>
      <x:c r="F137" s="69" t="str">
        <x:f>INDEX('Calendário'!$G$9:$G$214,MATCH($C137,'Calendário'!$B$9:$B$214,0))</x:f>
        <x:v>A apresentação responde à dúvida do
cliente?</x:v>
      </x:c>
      <x:c r="G137" s="78" t="str">
        <x:f>IF(INDEX('Calendário'!$P$9:$P$214,MATCH($C137,'Calendário'!$B$9:$B$214,0))="","",INDEX('Calendário'!$P$9:$P$214,MATCH($C137,'Calendário'!$B$9:$B$214,0)))</x:f>
      </x:c>
      <x:c r="H137" s="75" t="str">
        <x:v>Não iniciada</x:v>
      </x:c>
      <x:c r="I137" s="75" t="str">
        <x:v>Não se aplica</x:v>
      </x:c>
      <x:c r="J137" s="75" t="str">
        <x:v>Pendente</x:v>
      </x:c>
      <x:c r="K137" s="75" t="str">
        <x:v>Pendente</x:v>
      </x:c>
      <x:c r="L137" s="87" t="str">
        <x:f>(COUNTIFS('Calendário'!$B$9:$B$214,$C137,'Calendário'!$J$9:$J$214,"Agendado")+COUNTIFS('Calendário'!$B$9:$B$214,$C137,'Calendário'!$K$9:$K$214,"Agendado")+COUNTIFS('Calendário'!$B$9:$B$214,$C137,'Calendário'!$M$9:$M$214,"Agendado")+COUNTIFS('Calendário'!$B$9:$B$214,$C137,'Calendário'!$N$9:$N$214,"Agendado")+COUNTIFS('Calendário'!$B$9:$B$214,$C137,'Calendário'!$O$9:$O$214,"Agendado")+COUNTIFS('Calendário'!$B$9:$B$214,$C137,'Calendário'!$J$9:$J$214,"Publicado")+COUNTIFS('Calendário'!$B$9:$B$214,$C137,'Calendário'!$K$9:$K$214,"Publicado")+COUNTIFS('Calendário'!$B$9:$B$214,$C137,'Calendário'!$M$9:$M$214,"Publicado")+COUNTIFS('Calendário'!$B$9:$B$214,$C137,'Calendário'!$N$9:$N$214,"Publicado")+COUNTIFS('Calendário'!$B$9:$B$214,$C137,'Calendário'!$O$9:$O$214,"Publicado"))&amp;" de "&amp;(5-COUNTIFS('Calendário'!$B$9:$B$214,$C137,'Calendário'!$N$9:$N$214,"Não se aplica")-COUNTIFS('Calendário'!$B$9:$B$214,$C137,'Calendário'!$O$9:$O$214,"Não se aplica"))</x:f>
        <x:v>0 de 3</x:v>
      </x:c>
      <x:c r="M137" s="87" t="str">
        <x:f>(COUNTIFS('Calendário'!$B$9:$B$214,$C137,'Calendário'!$J$9:$J$214,"Publicado")+COUNTIFS('Calendário'!$B$9:$B$214,$C137,'Calendário'!$K$9:$K$214,"Publicado")+COUNTIFS('Calendário'!$B$9:$B$214,$C137,'Calendário'!$M$9:$M$214,"Publicado")+COUNTIFS('Calendário'!$B$9:$B$214,$C137,'Calendário'!$N$9:$N$214,"Publicado")+COUNTIFS('Calendário'!$B$9:$B$214,$C137,'Calendário'!$O$9:$O$214,"Publicado"))&amp;" de "&amp;(5-COUNTIFS('Calendário'!$B$9:$B$214,$C137,'Calendário'!$N$9:$N$214,"Não se aplica")-COUNTIFS('Calendário'!$B$9:$B$214,$C137,'Calendário'!$O$9:$O$214,"Não se aplica"))</x:f>
        <x:v>0 de 3</x:v>
      </x:c>
      <x:c r="N137" s="75"/>
      <x:c r="O137" s="75"/>
      <x:c r="P137" s="61"/>
    </x:row>
    <x:row r="138" ht="57" customHeight="1">
      <x:c r="A138" s="61"/>
      <x:c r="B138" s="69" t="str">
        <x:f>TEXT(D138,"yyyy-mm")</x:f>
        <x:v>2027-04</x:v>
      </x:c>
      <x:c r="C138" s="72" t="str">
        <x:v>P130</x:v>
      </x:c>
      <x:c r="D138" s="90" t="n">
        <x:f>INDEX('Calendário'!$C$9:$C$214,MATCH($C138,'Calendário'!$B$9:$B$214,0))</x:f>
        <x:v>46505.5</x:v>
      </x:c>
      <x:c r="E138" s="69" t="str">
        <x:f>INDEX('Calendário'!$F$9:$F$214,MATCH($C138,'Calendário'!$B$9:$B$214,0))</x:f>
        <x:v>Reel</x:v>
      </x:c>
      <x:c r="F138" s="69" t="str">
        <x:f>INDEX('Calendário'!$G$9:$G$214,MATCH($C138,'Calendário'!$B$9:$B$214,0))</x:f>
        <x:v>Exemplo prático: apresentação ao cliente.</x:v>
      </x:c>
      <x:c r="G138" s="78" t="str">
        <x:f>IF(INDEX('Calendário'!$P$9:$P$214,MATCH($C138,'Calendário'!$B$9:$B$214,0))="","",INDEX('Calendário'!$P$9:$P$214,MATCH($C138,'Calendário'!$B$9:$B$214,0)))</x:f>
      </x:c>
      <x:c r="H138" s="75" t="str">
        <x:v>Não iniciada</x:v>
      </x:c>
      <x:c r="I138" s="75" t="str">
        <x:v>Não iniciado</x:v>
      </x:c>
      <x:c r="J138" s="75" t="str">
        <x:v>Pendente</x:v>
      </x:c>
      <x:c r="K138" s="75" t="str">
        <x:v>Pendente</x:v>
      </x:c>
      <x:c r="L138" s="87" t="str">
        <x:f>(COUNTIFS('Calendário'!$B$9:$B$214,$C138,'Calendário'!$J$9:$J$214,"Agendado")+COUNTIFS('Calendário'!$B$9:$B$214,$C138,'Calendário'!$K$9:$K$214,"Agendado")+COUNTIFS('Calendário'!$B$9:$B$214,$C138,'Calendário'!$M$9:$M$214,"Agendado")+COUNTIFS('Calendário'!$B$9:$B$214,$C138,'Calendário'!$N$9:$N$214,"Agendado")+COUNTIFS('Calendário'!$B$9:$B$214,$C138,'Calendário'!$O$9:$O$214,"Agendado")+COUNTIFS('Calendário'!$B$9:$B$214,$C138,'Calendário'!$J$9:$J$214,"Publicado")+COUNTIFS('Calendário'!$B$9:$B$214,$C138,'Calendário'!$K$9:$K$214,"Publicado")+COUNTIFS('Calendário'!$B$9:$B$214,$C138,'Calendário'!$M$9:$M$214,"Publicado")+COUNTIFS('Calendário'!$B$9:$B$214,$C138,'Calendário'!$N$9:$N$214,"Publicado")+COUNTIFS('Calendário'!$B$9:$B$214,$C138,'Calendário'!$O$9:$O$214,"Publicado"))&amp;" de "&amp;(5-COUNTIFS('Calendário'!$B$9:$B$214,$C138,'Calendário'!$N$9:$N$214,"Não se aplica")-COUNTIFS('Calendário'!$B$9:$B$214,$C138,'Calendário'!$O$9:$O$214,"Não se aplica"))</x:f>
        <x:v>0 de 5</x:v>
      </x:c>
      <x:c r="M138" s="87" t="str">
        <x:f>(COUNTIFS('Calendário'!$B$9:$B$214,$C138,'Calendário'!$J$9:$J$214,"Publicado")+COUNTIFS('Calendário'!$B$9:$B$214,$C138,'Calendário'!$K$9:$K$214,"Publicado")+COUNTIFS('Calendário'!$B$9:$B$214,$C138,'Calendário'!$M$9:$M$214,"Publicado")+COUNTIFS('Calendário'!$B$9:$B$214,$C138,'Calendário'!$N$9:$N$214,"Publicado")+COUNTIFS('Calendário'!$B$9:$B$214,$C138,'Calendário'!$O$9:$O$214,"Publicado"))&amp;" de "&amp;(5-COUNTIFS('Calendário'!$B$9:$B$214,$C138,'Calendário'!$N$9:$N$214,"Não se aplica")-COUNTIFS('Calendário'!$B$9:$B$214,$C138,'Calendário'!$O$9:$O$214,"Não se aplica"))</x:f>
        <x:v>0 de 5</x:v>
      </x:c>
      <x:c r="N138" s="75"/>
      <x:c r="O138" s="75"/>
      <x:c r="P138" s="61"/>
    </x:row>
    <x:row r="139" ht="57" customHeight="1">
      <x:c r="A139" s="61"/>
      <x:c r="B139" s="69" t="str">
        <x:f>TEXT(D139,"yyyy-mm")</x:f>
        <x:v>2027-04</x:v>
      </x:c>
      <x:c r="C139" s="72" t="str">
        <x:v>P131</x:v>
      </x:c>
      <x:c r="D139" s="90" t="n">
        <x:f>INDEX('Calendário'!$C$9:$C$214,MATCH($C139,'Calendário'!$B$9:$B$214,0))</x:f>
        <x:v>46507.5</x:v>
      </x:c>
      <x:c r="E139" s="69" t="str">
        <x:f>INDEX('Calendário'!$F$9:$F$214,MATCH($C139,'Calendário'!$B$9:$B$214,0))</x:f>
        <x:v>Carrossel</x:v>
      </x:c>
      <x:c r="F139" s="69" t="str">
        <x:f>INDEX('Calendário'!$G$9:$G$214,MATCH($C139,'Calendário'!$B$9:$B$214,0))</x:f>
        <x:v>Checklist: apresentação ao cliente.</x:v>
      </x:c>
      <x:c r="G139" s="78" t="str">
        <x:f>IF(INDEX('Calendário'!$P$9:$P$214,MATCH($C139,'Calendário'!$B$9:$B$214,0))="","",INDEX('Calendário'!$P$9:$P$214,MATCH($C139,'Calendário'!$B$9:$B$214,0)))</x:f>
      </x:c>
      <x:c r="H139" s="75" t="str">
        <x:v>Não iniciada</x:v>
      </x:c>
      <x:c r="I139" s="75" t="str">
        <x:v>Não se aplica</x:v>
      </x:c>
      <x:c r="J139" s="75" t="str">
        <x:v>Pendente</x:v>
      </x:c>
      <x:c r="K139" s="75" t="str">
        <x:v>Pendente</x:v>
      </x:c>
      <x:c r="L139" s="87" t="str">
        <x:f>(COUNTIFS('Calendário'!$B$9:$B$214,$C139,'Calendário'!$J$9:$J$214,"Agendado")+COUNTIFS('Calendário'!$B$9:$B$214,$C139,'Calendário'!$K$9:$K$214,"Agendado")+COUNTIFS('Calendário'!$B$9:$B$214,$C139,'Calendário'!$M$9:$M$214,"Agendado")+COUNTIFS('Calendário'!$B$9:$B$214,$C139,'Calendário'!$N$9:$N$214,"Agendado")+COUNTIFS('Calendário'!$B$9:$B$214,$C139,'Calendário'!$O$9:$O$214,"Agendado")+COUNTIFS('Calendário'!$B$9:$B$214,$C139,'Calendário'!$J$9:$J$214,"Publicado")+COUNTIFS('Calendário'!$B$9:$B$214,$C139,'Calendário'!$K$9:$K$214,"Publicado")+COUNTIFS('Calendário'!$B$9:$B$214,$C139,'Calendário'!$M$9:$M$214,"Publicado")+COUNTIFS('Calendário'!$B$9:$B$214,$C139,'Calendário'!$N$9:$N$214,"Publicado")+COUNTIFS('Calendário'!$B$9:$B$214,$C139,'Calendário'!$O$9:$O$214,"Publicado"))&amp;" de "&amp;(5-COUNTIFS('Calendário'!$B$9:$B$214,$C139,'Calendário'!$N$9:$N$214,"Não se aplica")-COUNTIFS('Calendário'!$B$9:$B$214,$C139,'Calendário'!$O$9:$O$214,"Não se aplica"))</x:f>
        <x:v>0 de 3</x:v>
      </x:c>
      <x:c r="M139" s="87" t="str">
        <x:f>(COUNTIFS('Calendário'!$B$9:$B$214,$C139,'Calendário'!$J$9:$J$214,"Publicado")+COUNTIFS('Calendário'!$B$9:$B$214,$C139,'Calendário'!$K$9:$K$214,"Publicado")+COUNTIFS('Calendário'!$B$9:$B$214,$C139,'Calendário'!$M$9:$M$214,"Publicado")+COUNTIFS('Calendário'!$B$9:$B$214,$C139,'Calendário'!$N$9:$N$214,"Publicado")+COUNTIFS('Calendário'!$B$9:$B$214,$C139,'Calendário'!$O$9:$O$214,"Publicado"))&amp;" de "&amp;(5-COUNTIFS('Calendário'!$B$9:$B$214,$C139,'Calendário'!$N$9:$N$214,"Não se aplica")-COUNTIFS('Calendário'!$B$9:$B$214,$C139,'Calendário'!$O$9:$O$214,"Não se aplica"))</x:f>
        <x:v>0 de 3</x:v>
      </x:c>
      <x:c r="N139" s="75"/>
      <x:c r="O139" s="75"/>
      <x:c r="P139" s="61"/>
    </x:row>
    <x:row r="140" ht="57" customHeight="1">
      <x:c r="A140" s="61"/>
      <x:c r="B140" s="69" t="str">
        <x:f>TEXT(D140,"yyyy-mm")</x:f>
        <x:v>2027-05</x:v>
      </x:c>
      <x:c r="C140" s="72" t="str">
        <x:v>P132</x:v>
      </x:c>
      <x:c r="D140" s="90" t="n">
        <x:f>INDEX('Calendário'!$C$9:$C$214,MATCH($C140,'Calendário'!$B$9:$B$214,0))</x:f>
        <x:v>46508.5</x:v>
      </x:c>
      <x:c r="E140" s="69" t="str">
        <x:f>INDEX('Calendário'!$F$9:$F$214,MATCH($C140,'Calendário'!$B$9:$B$214,0))</x:f>
        <x:v>Estático</x:v>
      </x:c>
      <x:c r="F140" s="69" t="str">
        <x:f>INDEX('Calendário'!$G$9:$G$214,MATCH($C140,'Calendário'!$B$9:$B$214,0))</x:f>
        <x:v>Qual dúvida você ouve mais durante uma
apresentação?</x:v>
      </x:c>
      <x:c r="G140" s="78" t="str">
        <x:f>IF(INDEX('Calendário'!$P$9:$P$214,MATCH($C140,'Calendário'!$B$9:$B$214,0))="","",INDEX('Calendário'!$P$9:$P$214,MATCH($C140,'Calendário'!$B$9:$B$214,0)))</x:f>
      </x:c>
      <x:c r="H140" s="75" t="str">
        <x:v>Não iniciada</x:v>
      </x:c>
      <x:c r="I140" s="75" t="str">
        <x:v>Não se aplica</x:v>
      </x:c>
      <x:c r="J140" s="75" t="str">
        <x:v>Pendente</x:v>
      </x:c>
      <x:c r="K140" s="75" t="str">
        <x:v>Pendente</x:v>
      </x:c>
      <x:c r="L140" s="87" t="str">
        <x:f>(COUNTIFS('Calendário'!$B$9:$B$214,$C140,'Calendário'!$J$9:$J$214,"Agendado")+COUNTIFS('Calendário'!$B$9:$B$214,$C140,'Calendário'!$K$9:$K$214,"Agendado")+COUNTIFS('Calendário'!$B$9:$B$214,$C140,'Calendário'!$M$9:$M$214,"Agendado")+COUNTIFS('Calendário'!$B$9:$B$214,$C140,'Calendário'!$N$9:$N$214,"Agendado")+COUNTIFS('Calendário'!$B$9:$B$214,$C140,'Calendário'!$O$9:$O$214,"Agendado")+COUNTIFS('Calendário'!$B$9:$B$214,$C140,'Calendário'!$J$9:$J$214,"Publicado")+COUNTIFS('Calendário'!$B$9:$B$214,$C140,'Calendário'!$K$9:$K$214,"Publicado")+COUNTIFS('Calendário'!$B$9:$B$214,$C140,'Calendário'!$M$9:$M$214,"Publicado")+COUNTIFS('Calendário'!$B$9:$B$214,$C140,'Calendário'!$N$9:$N$214,"Publicado")+COUNTIFS('Calendário'!$B$9:$B$214,$C140,'Calendário'!$O$9:$O$214,"Publicado"))&amp;" de "&amp;(5-COUNTIFS('Calendário'!$B$9:$B$214,$C140,'Calendário'!$N$9:$N$214,"Não se aplica")-COUNTIFS('Calendário'!$B$9:$B$214,$C140,'Calendário'!$O$9:$O$214,"Não se aplica"))</x:f>
        <x:v>0 de 3</x:v>
      </x:c>
      <x:c r="M140" s="87" t="str">
        <x:f>(COUNTIFS('Calendário'!$B$9:$B$214,$C140,'Calendário'!$J$9:$J$214,"Publicado")+COUNTIFS('Calendário'!$B$9:$B$214,$C140,'Calendário'!$K$9:$K$214,"Publicado")+COUNTIFS('Calendário'!$B$9:$B$214,$C140,'Calendário'!$M$9:$M$214,"Publicado")+COUNTIFS('Calendário'!$B$9:$B$214,$C140,'Calendário'!$N$9:$N$214,"Publicado")+COUNTIFS('Calendário'!$B$9:$B$214,$C140,'Calendário'!$O$9:$O$214,"Publicado"))&amp;" de "&amp;(5-COUNTIFS('Calendário'!$B$9:$B$214,$C140,'Calendário'!$N$9:$N$214,"Não se aplica")-COUNTIFS('Calendário'!$B$9:$B$214,$C140,'Calendário'!$O$9:$O$214,"Não se aplica"))</x:f>
        <x:v>0 de 3</x:v>
      </x:c>
      <x:c r="N140" s="75"/>
      <x:c r="O140" s="75"/>
      <x:c r="P140" s="61"/>
    </x:row>
    <x:row r="141" ht="57" customHeight="1">
      <x:c r="A141" s="61"/>
      <x:c r="B141" s="69" t="str">
        <x:f>TEXT(D141,"yyyy-mm")</x:f>
        <x:v>2027-05</x:v>
      </x:c>
      <x:c r="C141" s="72" t="str">
        <x:v>P133</x:v>
      </x:c>
      <x:c r="D141" s="90" t="n">
        <x:f>INDEX('Calendário'!$C$9:$C$214,MATCH($C141,'Calendário'!$B$9:$B$214,0))</x:f>
        <x:v>46510.5</x:v>
      </x:c>
      <x:c r="E141" s="69" t="str">
        <x:f>INDEX('Calendário'!$F$9:$F$214,MATCH($C141,'Calendário'!$B$9:$B$214,0))</x:f>
        <x:v>Carrossel</x:v>
      </x:c>
      <x:c r="F141" s="69" t="str">
        <x:f>INDEX('Calendário'!$G$9:$G$214,MATCH($C141,'Calendário'!$B$9:$B$214,0))</x:f>
        <x:v>A mesma imagem responde a todas as
pessoas?</x:v>
      </x:c>
      <x:c r="G141" s="78" t="str">
        <x:f>IF(INDEX('Calendário'!$P$9:$P$214,MATCH($C141,'Calendário'!$B$9:$B$214,0))="","",INDEX('Calendário'!$P$9:$P$214,MATCH($C141,'Calendário'!$B$9:$B$214,0)))</x:f>
      </x:c>
      <x:c r="H141" s="75" t="str">
        <x:v>Não iniciada</x:v>
      </x:c>
      <x:c r="I141" s="75" t="str">
        <x:v>Não se aplica</x:v>
      </x:c>
      <x:c r="J141" s="75" t="str">
        <x:v>Pendente</x:v>
      </x:c>
      <x:c r="K141" s="75" t="str">
        <x:v>Pendente</x:v>
      </x:c>
      <x:c r="L141" s="87" t="str">
        <x:f>(COUNTIFS('Calendário'!$B$9:$B$214,$C141,'Calendário'!$J$9:$J$214,"Agendado")+COUNTIFS('Calendário'!$B$9:$B$214,$C141,'Calendário'!$K$9:$K$214,"Agendado")+COUNTIFS('Calendário'!$B$9:$B$214,$C141,'Calendário'!$M$9:$M$214,"Agendado")+COUNTIFS('Calendário'!$B$9:$B$214,$C141,'Calendário'!$N$9:$N$214,"Agendado")+COUNTIFS('Calendário'!$B$9:$B$214,$C141,'Calendário'!$O$9:$O$214,"Agendado")+COUNTIFS('Calendário'!$B$9:$B$214,$C141,'Calendário'!$J$9:$J$214,"Publicado")+COUNTIFS('Calendário'!$B$9:$B$214,$C141,'Calendário'!$K$9:$K$214,"Publicado")+COUNTIFS('Calendário'!$B$9:$B$214,$C141,'Calendário'!$M$9:$M$214,"Publicado")+COUNTIFS('Calendário'!$B$9:$B$214,$C141,'Calendário'!$N$9:$N$214,"Publicado")+COUNTIFS('Calendário'!$B$9:$B$214,$C141,'Calendário'!$O$9:$O$214,"Publicado"))&amp;" de "&amp;(5-COUNTIFS('Calendário'!$B$9:$B$214,$C141,'Calendário'!$N$9:$N$214,"Não se aplica")-COUNTIFS('Calendário'!$B$9:$B$214,$C141,'Calendário'!$O$9:$O$214,"Não se aplica"))</x:f>
        <x:v>0 de 3</x:v>
      </x:c>
      <x:c r="M141" s="87" t="str">
        <x:f>(COUNTIFS('Calendário'!$B$9:$B$214,$C141,'Calendário'!$J$9:$J$214,"Publicado")+COUNTIFS('Calendário'!$B$9:$B$214,$C141,'Calendário'!$K$9:$K$214,"Publicado")+COUNTIFS('Calendário'!$B$9:$B$214,$C141,'Calendário'!$M$9:$M$214,"Publicado")+COUNTIFS('Calendário'!$B$9:$B$214,$C141,'Calendário'!$N$9:$N$214,"Publicado")+COUNTIFS('Calendário'!$B$9:$B$214,$C141,'Calendário'!$O$9:$O$214,"Publicado"))&amp;" de "&amp;(5-COUNTIFS('Calendário'!$B$9:$B$214,$C141,'Calendário'!$N$9:$N$214,"Não se aplica")-COUNTIFS('Calendário'!$B$9:$B$214,$C141,'Calendário'!$O$9:$O$214,"Não se aplica"))</x:f>
        <x:v>0 de 3</x:v>
      </x:c>
      <x:c r="N141" s="75"/>
      <x:c r="O141" s="75"/>
      <x:c r="P141" s="61"/>
    </x:row>
    <x:row r="142" ht="57" customHeight="1">
      <x:c r="A142" s="61"/>
      <x:c r="B142" s="69" t="str">
        <x:f>TEXT(D142,"yyyy-mm")</x:f>
        <x:v>2027-05</x:v>
      </x:c>
      <x:c r="C142" s="72" t="str">
        <x:v>P134</x:v>
      </x:c>
      <x:c r="D142" s="90" t="n">
        <x:f>INDEX('Calendário'!$C$9:$C$214,MATCH($C142,'Calendário'!$B$9:$B$214,0))</x:f>
        <x:v>46512.5</x:v>
      </x:c>
      <x:c r="E142" s="69" t="str">
        <x:f>INDEX('Calendário'!$F$9:$F$214,MATCH($C142,'Calendário'!$B$9:$B$214,0))</x:f>
        <x:v>Reel</x:v>
      </x:c>
      <x:c r="F142" s="69" t="str">
        <x:f>INDEX('Calendário'!$G$9:$G$214,MATCH($C142,'Calendário'!$B$9:$B$214,0))</x:f>
        <x:v>Exemplo prático: pontos de vista da
equipe.</x:v>
      </x:c>
      <x:c r="G142" s="78" t="str">
        <x:f>IF(INDEX('Calendário'!$P$9:$P$214,MATCH($C142,'Calendário'!$B$9:$B$214,0))="","",INDEX('Calendário'!$P$9:$P$214,MATCH($C142,'Calendário'!$B$9:$B$214,0)))</x:f>
      </x:c>
      <x:c r="H142" s="75" t="str">
        <x:v>Não iniciada</x:v>
      </x:c>
      <x:c r="I142" s="75" t="str">
        <x:v>Não iniciado</x:v>
      </x:c>
      <x:c r="J142" s="75" t="str">
        <x:v>Pendente</x:v>
      </x:c>
      <x:c r="K142" s="75" t="str">
        <x:v>Pendente</x:v>
      </x:c>
      <x:c r="L142" s="87" t="str">
        <x:f>(COUNTIFS('Calendário'!$B$9:$B$214,$C142,'Calendário'!$J$9:$J$214,"Agendado")+COUNTIFS('Calendário'!$B$9:$B$214,$C142,'Calendário'!$K$9:$K$214,"Agendado")+COUNTIFS('Calendário'!$B$9:$B$214,$C142,'Calendário'!$M$9:$M$214,"Agendado")+COUNTIFS('Calendário'!$B$9:$B$214,$C142,'Calendário'!$N$9:$N$214,"Agendado")+COUNTIFS('Calendário'!$B$9:$B$214,$C142,'Calendário'!$O$9:$O$214,"Agendado")+COUNTIFS('Calendário'!$B$9:$B$214,$C142,'Calendário'!$J$9:$J$214,"Publicado")+COUNTIFS('Calendário'!$B$9:$B$214,$C142,'Calendário'!$K$9:$K$214,"Publicado")+COUNTIFS('Calendário'!$B$9:$B$214,$C142,'Calendário'!$M$9:$M$214,"Publicado")+COUNTIFS('Calendário'!$B$9:$B$214,$C142,'Calendário'!$N$9:$N$214,"Publicado")+COUNTIFS('Calendário'!$B$9:$B$214,$C142,'Calendário'!$O$9:$O$214,"Publicado"))&amp;" de "&amp;(5-COUNTIFS('Calendário'!$B$9:$B$214,$C142,'Calendário'!$N$9:$N$214,"Não se aplica")-COUNTIFS('Calendário'!$B$9:$B$214,$C142,'Calendário'!$O$9:$O$214,"Não se aplica"))</x:f>
        <x:v>0 de 5</x:v>
      </x:c>
      <x:c r="M142" s="87" t="str">
        <x:f>(COUNTIFS('Calendário'!$B$9:$B$214,$C142,'Calendário'!$J$9:$J$214,"Publicado")+COUNTIFS('Calendário'!$B$9:$B$214,$C142,'Calendário'!$K$9:$K$214,"Publicado")+COUNTIFS('Calendário'!$B$9:$B$214,$C142,'Calendário'!$M$9:$M$214,"Publicado")+COUNTIFS('Calendário'!$B$9:$B$214,$C142,'Calendário'!$N$9:$N$214,"Publicado")+COUNTIFS('Calendário'!$B$9:$B$214,$C142,'Calendário'!$O$9:$O$214,"Publicado"))&amp;" de "&amp;(5-COUNTIFS('Calendário'!$B$9:$B$214,$C142,'Calendário'!$N$9:$N$214,"Não se aplica")-COUNTIFS('Calendário'!$B$9:$B$214,$C142,'Calendário'!$O$9:$O$214,"Não se aplica"))</x:f>
        <x:v>0 de 5</x:v>
      </x:c>
      <x:c r="N142" s="75"/>
      <x:c r="O142" s="75"/>
      <x:c r="P142" s="61"/>
    </x:row>
    <x:row r="143" ht="57" customHeight="1">
      <x:c r="A143" s="61"/>
      <x:c r="B143" s="69" t="str">
        <x:f>TEXT(D143,"yyyy-mm")</x:f>
        <x:v>2027-05</x:v>
      </x:c>
      <x:c r="C143" s="72" t="str">
        <x:v>P135</x:v>
      </x:c>
      <x:c r="D143" s="90" t="n">
        <x:f>INDEX('Calendário'!$C$9:$C$214,MATCH($C143,'Calendário'!$B$9:$B$214,0))</x:f>
        <x:v>46514.5</x:v>
      </x:c>
      <x:c r="E143" s="69" t="str">
        <x:f>INDEX('Calendário'!$F$9:$F$214,MATCH($C143,'Calendário'!$B$9:$B$214,0))</x:f>
        <x:v>Carrossel</x:v>
      </x:c>
      <x:c r="F143" s="69" t="str">
        <x:f>INDEX('Calendário'!$G$9:$G$214,MATCH($C143,'Calendário'!$B$9:$B$214,0))</x:f>
        <x:v>Checklist: pontos de vista da equipe.</x:v>
      </x:c>
      <x:c r="G143" s="78" t="str">
        <x:f>IF(INDEX('Calendário'!$P$9:$P$214,MATCH($C143,'Calendário'!$B$9:$B$214,0))="","",INDEX('Calendário'!$P$9:$P$214,MATCH($C143,'Calendário'!$B$9:$B$214,0)))</x:f>
      </x:c>
      <x:c r="H143" s="75" t="str">
        <x:v>Não iniciada</x:v>
      </x:c>
      <x:c r="I143" s="75" t="str">
        <x:v>Não se aplica</x:v>
      </x:c>
      <x:c r="J143" s="75" t="str">
        <x:v>Pendente</x:v>
      </x:c>
      <x:c r="K143" s="75" t="str">
        <x:v>Pendente</x:v>
      </x:c>
      <x:c r="L143" s="87" t="str">
        <x:f>(COUNTIFS('Calendário'!$B$9:$B$214,$C143,'Calendário'!$J$9:$J$214,"Agendado")+COUNTIFS('Calendário'!$B$9:$B$214,$C143,'Calendário'!$K$9:$K$214,"Agendado")+COUNTIFS('Calendário'!$B$9:$B$214,$C143,'Calendário'!$M$9:$M$214,"Agendado")+COUNTIFS('Calendário'!$B$9:$B$214,$C143,'Calendário'!$N$9:$N$214,"Agendado")+COUNTIFS('Calendário'!$B$9:$B$214,$C143,'Calendário'!$O$9:$O$214,"Agendado")+COUNTIFS('Calendário'!$B$9:$B$214,$C143,'Calendário'!$J$9:$J$214,"Publicado")+COUNTIFS('Calendário'!$B$9:$B$214,$C143,'Calendário'!$K$9:$K$214,"Publicado")+COUNTIFS('Calendário'!$B$9:$B$214,$C143,'Calendário'!$M$9:$M$214,"Publicado")+COUNTIFS('Calendário'!$B$9:$B$214,$C143,'Calendário'!$N$9:$N$214,"Publicado")+COUNTIFS('Calendário'!$B$9:$B$214,$C143,'Calendário'!$O$9:$O$214,"Publicado"))&amp;" de "&amp;(5-COUNTIFS('Calendário'!$B$9:$B$214,$C143,'Calendário'!$N$9:$N$214,"Não se aplica")-COUNTIFS('Calendário'!$B$9:$B$214,$C143,'Calendário'!$O$9:$O$214,"Não se aplica"))</x:f>
        <x:v>0 de 3</x:v>
      </x:c>
      <x:c r="M143" s="87" t="str">
        <x:f>(COUNTIFS('Calendário'!$B$9:$B$214,$C143,'Calendário'!$J$9:$J$214,"Publicado")+COUNTIFS('Calendário'!$B$9:$B$214,$C143,'Calendário'!$K$9:$K$214,"Publicado")+COUNTIFS('Calendário'!$B$9:$B$214,$C143,'Calendário'!$M$9:$M$214,"Publicado")+COUNTIFS('Calendário'!$B$9:$B$214,$C143,'Calendário'!$N$9:$N$214,"Publicado")+COUNTIFS('Calendário'!$B$9:$B$214,$C143,'Calendário'!$O$9:$O$214,"Publicado"))&amp;" de "&amp;(5-COUNTIFS('Calendário'!$B$9:$B$214,$C143,'Calendário'!$N$9:$N$214,"Não se aplica")-COUNTIFS('Calendário'!$B$9:$B$214,$C143,'Calendário'!$O$9:$O$214,"Não se aplica"))</x:f>
        <x:v>0 de 3</x:v>
      </x:c>
      <x:c r="N143" s="75"/>
      <x:c r="O143" s="75"/>
      <x:c r="P143" s="61"/>
    </x:row>
    <x:row r="144" ht="57" customHeight="1">
      <x:c r="A144" s="61"/>
      <x:c r="B144" s="69" t="str">
        <x:f>TEXT(D144,"yyyy-mm")</x:f>
        <x:v>2027-05</x:v>
      </x:c>
      <x:c r="C144" s="72" t="str">
        <x:v>P136</x:v>
      </x:c>
      <x:c r="D144" s="90" t="n">
        <x:f>INDEX('Calendário'!$C$9:$C$214,MATCH($C144,'Calendário'!$B$9:$B$214,0))</x:f>
        <x:v>46515.5</x:v>
      </x:c>
      <x:c r="E144" s="69" t="str">
        <x:f>INDEX('Calendário'!$F$9:$F$214,MATCH($C144,'Calendário'!$B$9:$B$214,0))</x:f>
        <x:v>Estático</x:v>
      </x:c>
      <x:c r="F144" s="69" t="str">
        <x:f>INDEX('Calendário'!$G$9:$G$214,MATCH($C144,'Calendário'!$B$9:$B$214,0))</x:f>
        <x:v>Quem precisa de outro recorte para
entender a análise?</x:v>
      </x:c>
      <x:c r="G144" s="78" t="str">
        <x:f>IF(INDEX('Calendário'!$P$9:$P$214,MATCH($C144,'Calendário'!$B$9:$B$214,0))="","",INDEX('Calendário'!$P$9:$P$214,MATCH($C144,'Calendário'!$B$9:$B$214,0)))</x:f>
      </x:c>
      <x:c r="H144" s="75" t="str">
        <x:v>Não iniciada</x:v>
      </x:c>
      <x:c r="I144" s="75" t="str">
        <x:v>Não se aplica</x:v>
      </x:c>
      <x:c r="J144" s="75" t="str">
        <x:v>Pendente</x:v>
      </x:c>
      <x:c r="K144" s="75" t="str">
        <x:v>Pendente</x:v>
      </x:c>
      <x:c r="L144" s="87" t="str">
        <x:f>(COUNTIFS('Calendário'!$B$9:$B$214,$C144,'Calendário'!$J$9:$J$214,"Agendado")+COUNTIFS('Calendário'!$B$9:$B$214,$C144,'Calendário'!$K$9:$K$214,"Agendado")+COUNTIFS('Calendário'!$B$9:$B$214,$C144,'Calendário'!$M$9:$M$214,"Agendado")+COUNTIFS('Calendário'!$B$9:$B$214,$C144,'Calendário'!$N$9:$N$214,"Agendado")+COUNTIFS('Calendário'!$B$9:$B$214,$C144,'Calendário'!$O$9:$O$214,"Agendado")+COUNTIFS('Calendário'!$B$9:$B$214,$C144,'Calendário'!$J$9:$J$214,"Publicado")+COUNTIFS('Calendário'!$B$9:$B$214,$C144,'Calendário'!$K$9:$K$214,"Publicado")+COUNTIFS('Calendário'!$B$9:$B$214,$C144,'Calendário'!$M$9:$M$214,"Publicado")+COUNTIFS('Calendário'!$B$9:$B$214,$C144,'Calendário'!$N$9:$N$214,"Publicado")+COUNTIFS('Calendário'!$B$9:$B$214,$C144,'Calendário'!$O$9:$O$214,"Publicado"))&amp;" de "&amp;(5-COUNTIFS('Calendário'!$B$9:$B$214,$C144,'Calendário'!$N$9:$N$214,"Não se aplica")-COUNTIFS('Calendário'!$B$9:$B$214,$C144,'Calendário'!$O$9:$O$214,"Não se aplica"))</x:f>
        <x:v>0 de 3</x:v>
      </x:c>
      <x:c r="M144" s="87" t="str">
        <x:f>(COUNTIFS('Calendário'!$B$9:$B$214,$C144,'Calendário'!$J$9:$J$214,"Publicado")+COUNTIFS('Calendário'!$B$9:$B$214,$C144,'Calendário'!$K$9:$K$214,"Publicado")+COUNTIFS('Calendário'!$B$9:$B$214,$C144,'Calendário'!$M$9:$M$214,"Publicado")+COUNTIFS('Calendário'!$B$9:$B$214,$C144,'Calendário'!$N$9:$N$214,"Publicado")+COUNTIFS('Calendário'!$B$9:$B$214,$C144,'Calendário'!$O$9:$O$214,"Publicado"))&amp;" de "&amp;(5-COUNTIFS('Calendário'!$B$9:$B$214,$C144,'Calendário'!$N$9:$N$214,"Não se aplica")-COUNTIFS('Calendário'!$B$9:$B$214,$C144,'Calendário'!$O$9:$O$214,"Não se aplica"))</x:f>
        <x:v>0 de 3</x:v>
      </x:c>
      <x:c r="N144" s="75"/>
      <x:c r="O144" s="75"/>
      <x:c r="P144" s="61"/>
    </x:row>
    <x:row r="145" ht="57" customHeight="1">
      <x:c r="A145" s="61"/>
      <x:c r="B145" s="69" t="str">
        <x:f>TEXT(D145,"yyyy-mm")</x:f>
        <x:v>2027-05</x:v>
      </x:c>
      <x:c r="C145" s="72" t="str">
        <x:v>P137</x:v>
      </x:c>
      <x:c r="D145" s="90" t="n">
        <x:f>INDEX('Calendário'!$C$9:$C$214,MATCH($C145,'Calendário'!$B$9:$B$214,0))</x:f>
        <x:v>46517.5</x:v>
      </x:c>
      <x:c r="E145" s="69" t="str">
        <x:f>INDEX('Calendário'!$F$9:$F$214,MATCH($C145,'Calendário'!$B$9:$B$214,0))</x:f>
        <x:v>Carrossel</x:v>
      </x:c>
      <x:c r="F145" s="69" t="str">
        <x:f>INDEX('Calendário'!$G$9:$G$214,MATCH($C145,'Calendário'!$B$9:$B$214,0))</x:f>
        <x:v>Com o que a equipe deve sair desta
reunião?</x:v>
      </x:c>
      <x:c r="G145" s="78" t="str">
        <x:f>IF(INDEX('Calendário'!$P$9:$P$214,MATCH($C145,'Calendário'!$B$9:$B$214,0))="","",INDEX('Calendário'!$P$9:$P$214,MATCH($C145,'Calendário'!$B$9:$B$214,0)))</x:f>
      </x:c>
      <x:c r="H145" s="75" t="str">
        <x:v>Não iniciada</x:v>
      </x:c>
      <x:c r="I145" s="75" t="str">
        <x:v>Não se aplica</x:v>
      </x:c>
      <x:c r="J145" s="75" t="str">
        <x:v>Pendente</x:v>
      </x:c>
      <x:c r="K145" s="75" t="str">
        <x:v>Pendente</x:v>
      </x:c>
      <x:c r="L145" s="87" t="str">
        <x:f>(COUNTIFS('Calendário'!$B$9:$B$214,$C145,'Calendário'!$J$9:$J$214,"Agendado")+COUNTIFS('Calendário'!$B$9:$B$214,$C145,'Calendário'!$K$9:$K$214,"Agendado")+COUNTIFS('Calendário'!$B$9:$B$214,$C145,'Calendário'!$M$9:$M$214,"Agendado")+COUNTIFS('Calendário'!$B$9:$B$214,$C145,'Calendário'!$N$9:$N$214,"Agendado")+COUNTIFS('Calendário'!$B$9:$B$214,$C145,'Calendário'!$O$9:$O$214,"Agendado")+COUNTIFS('Calendário'!$B$9:$B$214,$C145,'Calendário'!$J$9:$J$214,"Publicado")+COUNTIFS('Calendário'!$B$9:$B$214,$C145,'Calendário'!$K$9:$K$214,"Publicado")+COUNTIFS('Calendário'!$B$9:$B$214,$C145,'Calendário'!$M$9:$M$214,"Publicado")+COUNTIFS('Calendário'!$B$9:$B$214,$C145,'Calendário'!$N$9:$N$214,"Publicado")+COUNTIFS('Calendário'!$B$9:$B$214,$C145,'Calendário'!$O$9:$O$214,"Publicado"))&amp;" de "&amp;(5-COUNTIFS('Calendário'!$B$9:$B$214,$C145,'Calendário'!$N$9:$N$214,"Não se aplica")-COUNTIFS('Calendário'!$B$9:$B$214,$C145,'Calendário'!$O$9:$O$214,"Não se aplica"))</x:f>
        <x:v>0 de 3</x:v>
      </x:c>
      <x:c r="M145" s="87" t="str">
        <x:f>(COUNTIFS('Calendário'!$B$9:$B$214,$C145,'Calendário'!$J$9:$J$214,"Publicado")+COUNTIFS('Calendário'!$B$9:$B$214,$C145,'Calendário'!$K$9:$K$214,"Publicado")+COUNTIFS('Calendário'!$B$9:$B$214,$C145,'Calendário'!$M$9:$M$214,"Publicado")+COUNTIFS('Calendário'!$B$9:$B$214,$C145,'Calendário'!$N$9:$N$214,"Publicado")+COUNTIFS('Calendário'!$B$9:$B$214,$C145,'Calendário'!$O$9:$O$214,"Publicado"))&amp;" de "&amp;(5-COUNTIFS('Calendário'!$B$9:$B$214,$C145,'Calendário'!$N$9:$N$214,"Não se aplica")-COUNTIFS('Calendário'!$B$9:$B$214,$C145,'Calendário'!$O$9:$O$214,"Não se aplica"))</x:f>
        <x:v>0 de 3</x:v>
      </x:c>
      <x:c r="N145" s="75"/>
      <x:c r="O145" s="75"/>
      <x:c r="P145" s="61"/>
    </x:row>
    <x:row r="146" ht="57" customHeight="1">
      <x:c r="A146" s="61"/>
      <x:c r="B146" s="69" t="str">
        <x:f>TEXT(D146,"yyyy-mm")</x:f>
        <x:v>2027-05</x:v>
      </x:c>
      <x:c r="C146" s="72" t="str">
        <x:v>P138</x:v>
      </x:c>
      <x:c r="D146" s="90" t="n">
        <x:f>INDEX('Calendário'!$C$9:$C$214,MATCH($C146,'Calendário'!$B$9:$B$214,0))</x:f>
        <x:v>46519.5</x:v>
      </x:c>
      <x:c r="E146" s="69" t="str">
        <x:f>INDEX('Calendário'!$F$9:$F$214,MATCH($C146,'Calendário'!$B$9:$B$214,0))</x:f>
        <x:v>Reel</x:v>
      </x:c>
      <x:c r="F146" s="69" t="str">
        <x:f>INDEX('Calendário'!$G$9:$G$214,MATCH($C146,'Calendário'!$B$9:$B$214,0))</x:f>
        <x:v>Exemplo prático: reunião com decisão
clara.</x:v>
      </x:c>
      <x:c r="G146" s="78" t="str">
        <x:f>IF(INDEX('Calendário'!$P$9:$P$214,MATCH($C146,'Calendário'!$B$9:$B$214,0))="","",INDEX('Calendário'!$P$9:$P$214,MATCH($C146,'Calendário'!$B$9:$B$214,0)))</x:f>
      </x:c>
      <x:c r="H146" s="75" t="str">
        <x:v>Não iniciada</x:v>
      </x:c>
      <x:c r="I146" s="75" t="str">
        <x:v>Não iniciado</x:v>
      </x:c>
      <x:c r="J146" s="75" t="str">
        <x:v>Pendente</x:v>
      </x:c>
      <x:c r="K146" s="75" t="str">
        <x:v>Pendente</x:v>
      </x:c>
      <x:c r="L146" s="87" t="str">
        <x:f>(COUNTIFS('Calendário'!$B$9:$B$214,$C146,'Calendário'!$J$9:$J$214,"Agendado")+COUNTIFS('Calendário'!$B$9:$B$214,$C146,'Calendário'!$K$9:$K$214,"Agendado")+COUNTIFS('Calendário'!$B$9:$B$214,$C146,'Calendário'!$M$9:$M$214,"Agendado")+COUNTIFS('Calendário'!$B$9:$B$214,$C146,'Calendário'!$N$9:$N$214,"Agendado")+COUNTIFS('Calendário'!$B$9:$B$214,$C146,'Calendário'!$O$9:$O$214,"Agendado")+COUNTIFS('Calendário'!$B$9:$B$214,$C146,'Calendário'!$J$9:$J$214,"Publicado")+COUNTIFS('Calendário'!$B$9:$B$214,$C146,'Calendário'!$K$9:$K$214,"Publicado")+COUNTIFS('Calendário'!$B$9:$B$214,$C146,'Calendário'!$M$9:$M$214,"Publicado")+COUNTIFS('Calendário'!$B$9:$B$214,$C146,'Calendário'!$N$9:$N$214,"Publicado")+COUNTIFS('Calendário'!$B$9:$B$214,$C146,'Calendário'!$O$9:$O$214,"Publicado"))&amp;" de "&amp;(5-COUNTIFS('Calendário'!$B$9:$B$214,$C146,'Calendário'!$N$9:$N$214,"Não se aplica")-COUNTIFS('Calendário'!$B$9:$B$214,$C146,'Calendário'!$O$9:$O$214,"Não se aplica"))</x:f>
        <x:v>0 de 5</x:v>
      </x:c>
      <x:c r="M146" s="87" t="str">
        <x:f>(COUNTIFS('Calendário'!$B$9:$B$214,$C146,'Calendário'!$J$9:$J$214,"Publicado")+COUNTIFS('Calendário'!$B$9:$B$214,$C146,'Calendário'!$K$9:$K$214,"Publicado")+COUNTIFS('Calendário'!$B$9:$B$214,$C146,'Calendário'!$M$9:$M$214,"Publicado")+COUNTIFS('Calendário'!$B$9:$B$214,$C146,'Calendário'!$N$9:$N$214,"Publicado")+COUNTIFS('Calendário'!$B$9:$B$214,$C146,'Calendário'!$O$9:$O$214,"Publicado"))&amp;" de "&amp;(5-COUNTIFS('Calendário'!$B$9:$B$214,$C146,'Calendário'!$N$9:$N$214,"Não se aplica")-COUNTIFS('Calendário'!$B$9:$B$214,$C146,'Calendário'!$O$9:$O$214,"Não se aplica"))</x:f>
        <x:v>0 de 5</x:v>
      </x:c>
      <x:c r="N146" s="75"/>
      <x:c r="O146" s="75"/>
      <x:c r="P146" s="61"/>
    </x:row>
    <x:row r="147" ht="57" customHeight="1">
      <x:c r="A147" s="61"/>
      <x:c r="B147" s="69" t="str">
        <x:f>TEXT(D147,"yyyy-mm")</x:f>
        <x:v>2027-05</x:v>
      </x:c>
      <x:c r="C147" s="72" t="str">
        <x:v>P139</x:v>
      </x:c>
      <x:c r="D147" s="90" t="n">
        <x:f>INDEX('Calendário'!$C$9:$C$214,MATCH($C147,'Calendário'!$B$9:$B$214,0))</x:f>
        <x:v>46521.5</x:v>
      </x:c>
      <x:c r="E147" s="69" t="str">
        <x:f>INDEX('Calendário'!$F$9:$F$214,MATCH($C147,'Calendário'!$B$9:$B$214,0))</x:f>
        <x:v>Carrossel</x:v>
      </x:c>
      <x:c r="F147" s="69" t="str">
        <x:f>INDEX('Calendário'!$G$9:$G$214,MATCH($C147,'Calendário'!$B$9:$B$214,0))</x:f>
        <x:v>Checklist: reunião com decisão clara.</x:v>
      </x:c>
      <x:c r="G147" s="78" t="str">
        <x:f>IF(INDEX('Calendário'!$P$9:$P$214,MATCH($C147,'Calendário'!$B$9:$B$214,0))="","",INDEX('Calendário'!$P$9:$P$214,MATCH($C147,'Calendário'!$B$9:$B$214,0)))</x:f>
      </x:c>
      <x:c r="H147" s="75" t="str">
        <x:v>Não iniciada</x:v>
      </x:c>
      <x:c r="I147" s="75" t="str">
        <x:v>Não se aplica</x:v>
      </x:c>
      <x:c r="J147" s="75" t="str">
        <x:v>Pendente</x:v>
      </x:c>
      <x:c r="K147" s="75" t="str">
        <x:v>Pendente</x:v>
      </x:c>
      <x:c r="L147" s="87" t="str">
        <x:f>(COUNTIFS('Calendário'!$B$9:$B$214,$C147,'Calendário'!$J$9:$J$214,"Agendado")+COUNTIFS('Calendário'!$B$9:$B$214,$C147,'Calendário'!$K$9:$K$214,"Agendado")+COUNTIFS('Calendário'!$B$9:$B$214,$C147,'Calendário'!$M$9:$M$214,"Agendado")+COUNTIFS('Calendário'!$B$9:$B$214,$C147,'Calendário'!$N$9:$N$214,"Agendado")+COUNTIFS('Calendário'!$B$9:$B$214,$C147,'Calendário'!$O$9:$O$214,"Agendado")+COUNTIFS('Calendário'!$B$9:$B$214,$C147,'Calendário'!$J$9:$J$214,"Publicado")+COUNTIFS('Calendário'!$B$9:$B$214,$C147,'Calendário'!$K$9:$K$214,"Publicado")+COUNTIFS('Calendário'!$B$9:$B$214,$C147,'Calendário'!$M$9:$M$214,"Publicado")+COUNTIFS('Calendário'!$B$9:$B$214,$C147,'Calendário'!$N$9:$N$214,"Publicado")+COUNTIFS('Calendário'!$B$9:$B$214,$C147,'Calendário'!$O$9:$O$214,"Publicado"))&amp;" de "&amp;(5-COUNTIFS('Calendário'!$B$9:$B$214,$C147,'Calendário'!$N$9:$N$214,"Não se aplica")-COUNTIFS('Calendário'!$B$9:$B$214,$C147,'Calendário'!$O$9:$O$214,"Não se aplica"))</x:f>
        <x:v>0 de 3</x:v>
      </x:c>
      <x:c r="M147" s="87" t="str">
        <x:f>(COUNTIFS('Calendário'!$B$9:$B$214,$C147,'Calendário'!$J$9:$J$214,"Publicado")+COUNTIFS('Calendário'!$B$9:$B$214,$C147,'Calendário'!$K$9:$K$214,"Publicado")+COUNTIFS('Calendário'!$B$9:$B$214,$C147,'Calendário'!$M$9:$M$214,"Publicado")+COUNTIFS('Calendário'!$B$9:$B$214,$C147,'Calendário'!$N$9:$N$214,"Publicado")+COUNTIFS('Calendário'!$B$9:$B$214,$C147,'Calendário'!$O$9:$O$214,"Publicado"))&amp;" de "&amp;(5-COUNTIFS('Calendário'!$B$9:$B$214,$C147,'Calendário'!$N$9:$N$214,"Não se aplica")-COUNTIFS('Calendário'!$B$9:$B$214,$C147,'Calendário'!$O$9:$O$214,"Não se aplica"))</x:f>
        <x:v>0 de 3</x:v>
      </x:c>
      <x:c r="N147" s="75"/>
      <x:c r="O147" s="75"/>
      <x:c r="P147" s="61"/>
    </x:row>
    <x:row r="148" ht="57" customHeight="1">
      <x:c r="A148" s="61"/>
      <x:c r="B148" s="69" t="str">
        <x:f>TEXT(D148,"yyyy-mm")</x:f>
        <x:v>2027-05</x:v>
      </x:c>
      <x:c r="C148" s="72" t="str">
        <x:v>P140</x:v>
      </x:c>
      <x:c r="D148" s="90" t="n">
        <x:f>INDEX('Calendário'!$C$9:$C$214,MATCH($C148,'Calendário'!$B$9:$B$214,0))</x:f>
        <x:v>46522.5</x:v>
      </x:c>
      <x:c r="E148" s="69" t="str">
        <x:f>INDEX('Calendário'!$F$9:$F$214,MATCH($C148,'Calendário'!$B$9:$B$214,0))</x:f>
        <x:v>Estático</x:v>
      </x:c>
      <x:c r="F148" s="69" t="str">
        <x:f>INDEX('Calendário'!$G$9:$G$214,MATCH($C148,'Calendário'!$B$9:$B$214,0))</x:f>
        <x:v>Como vocês registram o que ficou para
depois?</x:v>
      </x:c>
      <x:c r="G148" s="78" t="str">
        <x:f>IF(INDEX('Calendário'!$P$9:$P$214,MATCH($C148,'Calendário'!$B$9:$B$214,0))="","",INDEX('Calendário'!$P$9:$P$214,MATCH($C148,'Calendário'!$B$9:$B$214,0)))</x:f>
      </x:c>
      <x:c r="H148" s="75" t="str">
        <x:v>Não iniciada</x:v>
      </x:c>
      <x:c r="I148" s="75" t="str">
        <x:v>Não se aplica</x:v>
      </x:c>
      <x:c r="J148" s="75" t="str">
        <x:v>Pendente</x:v>
      </x:c>
      <x:c r="K148" s="75" t="str">
        <x:v>Pendente</x:v>
      </x:c>
      <x:c r="L148" s="87" t="str">
        <x:f>(COUNTIFS('Calendário'!$B$9:$B$214,$C148,'Calendário'!$J$9:$J$214,"Agendado")+COUNTIFS('Calendário'!$B$9:$B$214,$C148,'Calendário'!$K$9:$K$214,"Agendado")+COUNTIFS('Calendário'!$B$9:$B$214,$C148,'Calendário'!$M$9:$M$214,"Agendado")+COUNTIFS('Calendário'!$B$9:$B$214,$C148,'Calendário'!$N$9:$N$214,"Agendado")+COUNTIFS('Calendário'!$B$9:$B$214,$C148,'Calendário'!$O$9:$O$214,"Agendado")+COUNTIFS('Calendário'!$B$9:$B$214,$C148,'Calendário'!$J$9:$J$214,"Publicado")+COUNTIFS('Calendário'!$B$9:$B$214,$C148,'Calendário'!$K$9:$K$214,"Publicado")+COUNTIFS('Calendário'!$B$9:$B$214,$C148,'Calendário'!$M$9:$M$214,"Publicado")+COUNTIFS('Calendário'!$B$9:$B$214,$C148,'Calendário'!$N$9:$N$214,"Publicado")+COUNTIFS('Calendário'!$B$9:$B$214,$C148,'Calendário'!$O$9:$O$214,"Publicado"))&amp;" de "&amp;(5-COUNTIFS('Calendário'!$B$9:$B$214,$C148,'Calendário'!$N$9:$N$214,"Não se aplica")-COUNTIFS('Calendário'!$B$9:$B$214,$C148,'Calendário'!$O$9:$O$214,"Não se aplica"))</x:f>
        <x:v>0 de 3</x:v>
      </x:c>
      <x:c r="M148" s="87" t="str">
        <x:f>(COUNTIFS('Calendário'!$B$9:$B$214,$C148,'Calendário'!$J$9:$J$214,"Publicado")+COUNTIFS('Calendário'!$B$9:$B$214,$C148,'Calendário'!$K$9:$K$214,"Publicado")+COUNTIFS('Calendário'!$B$9:$B$214,$C148,'Calendário'!$M$9:$M$214,"Publicado")+COUNTIFS('Calendário'!$B$9:$B$214,$C148,'Calendário'!$N$9:$N$214,"Publicado")+COUNTIFS('Calendário'!$B$9:$B$214,$C148,'Calendário'!$O$9:$O$214,"Publicado"))&amp;" de "&amp;(5-COUNTIFS('Calendário'!$B$9:$B$214,$C148,'Calendário'!$N$9:$N$214,"Não se aplica")-COUNTIFS('Calendário'!$B$9:$B$214,$C148,'Calendário'!$O$9:$O$214,"Não se aplica"))</x:f>
        <x:v>0 de 3</x:v>
      </x:c>
      <x:c r="N148" s="75"/>
      <x:c r="O148" s="75"/>
      <x:c r="P148" s="61"/>
    </x:row>
    <x:row r="149" ht="57" customHeight="1">
      <x:c r="A149" s="61"/>
      <x:c r="B149" s="69" t="str">
        <x:f>TEXT(D149,"yyyy-mm")</x:f>
        <x:v>2027-05</x:v>
      </x:c>
      <x:c r="C149" s="72" t="str">
        <x:v>P141</x:v>
      </x:c>
      <x:c r="D149" s="90" t="n">
        <x:f>INDEX('Calendário'!$C$9:$C$214,MATCH($C149,'Calendário'!$B$9:$B$214,0))</x:f>
        <x:v>46524.5</x:v>
      </x:c>
      <x:c r="E149" s="69" t="str">
        <x:f>INDEX('Calendário'!$F$9:$F$214,MATCH($C149,'Calendário'!$B$9:$B$214,0))</x:f>
        <x:v>Carrossel</x:v>
      </x:c>
      <x:c r="F149" s="69" t="str">
        <x:f>INDEX('Calendário'!$G$9:$G$214,MATCH($C149,'Calendário'!$B$9:$B$214,0))</x:f>
        <x:v>Como levar uma observação da obra para a
revisão?</x:v>
      </x:c>
      <x:c r="G149" s="78" t="str">
        <x:f>IF(INDEX('Calendário'!$P$9:$P$214,MATCH($C149,'Calendário'!$B$9:$B$214,0))="","",INDEX('Calendário'!$P$9:$P$214,MATCH($C149,'Calendário'!$B$9:$B$214,0)))</x:f>
      </x:c>
      <x:c r="H149" s="75" t="str">
        <x:v>Não iniciada</x:v>
      </x:c>
      <x:c r="I149" s="75" t="str">
        <x:v>Não se aplica</x:v>
      </x:c>
      <x:c r="J149" s="75" t="str">
        <x:v>Pendente</x:v>
      </x:c>
      <x:c r="K149" s="75" t="str">
        <x:v>Pendente</x:v>
      </x:c>
      <x:c r="L149" s="87" t="str">
        <x:f>(COUNTIFS('Calendário'!$B$9:$B$214,$C149,'Calendário'!$J$9:$J$214,"Agendado")+COUNTIFS('Calendário'!$B$9:$B$214,$C149,'Calendário'!$K$9:$K$214,"Agendado")+COUNTIFS('Calendário'!$B$9:$B$214,$C149,'Calendário'!$M$9:$M$214,"Agendado")+COUNTIFS('Calendário'!$B$9:$B$214,$C149,'Calendário'!$N$9:$N$214,"Agendado")+COUNTIFS('Calendário'!$B$9:$B$214,$C149,'Calendário'!$O$9:$O$214,"Agendado")+COUNTIFS('Calendário'!$B$9:$B$214,$C149,'Calendário'!$J$9:$J$214,"Publicado")+COUNTIFS('Calendário'!$B$9:$B$214,$C149,'Calendário'!$K$9:$K$214,"Publicado")+COUNTIFS('Calendário'!$B$9:$B$214,$C149,'Calendário'!$M$9:$M$214,"Publicado")+COUNTIFS('Calendário'!$B$9:$B$214,$C149,'Calendário'!$N$9:$N$214,"Publicado")+COUNTIFS('Calendário'!$B$9:$B$214,$C149,'Calendário'!$O$9:$O$214,"Publicado"))&amp;" de "&amp;(5-COUNTIFS('Calendário'!$B$9:$B$214,$C149,'Calendário'!$N$9:$N$214,"Não se aplica")-COUNTIFS('Calendário'!$B$9:$B$214,$C149,'Calendário'!$O$9:$O$214,"Não se aplica"))</x:f>
        <x:v>0 de 3</x:v>
      </x:c>
      <x:c r="M149" s="87" t="str">
        <x:f>(COUNTIFS('Calendário'!$B$9:$B$214,$C149,'Calendário'!$J$9:$J$214,"Publicado")+COUNTIFS('Calendário'!$B$9:$B$214,$C149,'Calendário'!$K$9:$K$214,"Publicado")+COUNTIFS('Calendário'!$B$9:$B$214,$C149,'Calendário'!$M$9:$M$214,"Publicado")+COUNTIFS('Calendário'!$B$9:$B$214,$C149,'Calendário'!$N$9:$N$214,"Publicado")+COUNTIFS('Calendário'!$B$9:$B$214,$C149,'Calendário'!$O$9:$O$214,"Publicado"))&amp;" de "&amp;(5-COUNTIFS('Calendário'!$B$9:$B$214,$C149,'Calendário'!$N$9:$N$214,"Não se aplica")-COUNTIFS('Calendário'!$B$9:$B$214,$C149,'Calendário'!$O$9:$O$214,"Não se aplica"))</x:f>
        <x:v>0 de 3</x:v>
      </x:c>
      <x:c r="N149" s="75"/>
      <x:c r="O149" s="75"/>
      <x:c r="P149" s="61"/>
    </x:row>
    <x:row r="150" ht="57" customHeight="1">
      <x:c r="A150" s="61"/>
      <x:c r="B150" s="69" t="str">
        <x:f>TEXT(D150,"yyyy-mm")</x:f>
        <x:v>2027-05</x:v>
      </x:c>
      <x:c r="C150" s="72" t="str">
        <x:v>P142</x:v>
      </x:c>
      <x:c r="D150" s="90" t="n">
        <x:f>INDEX('Calendário'!$C$9:$C$214,MATCH($C150,'Calendário'!$B$9:$B$214,0))</x:f>
        <x:v>46526.5</x:v>
      </x:c>
      <x:c r="E150" s="69" t="str">
        <x:f>INDEX('Calendário'!$F$9:$F$214,MATCH($C150,'Calendário'!$B$9:$B$214,0))</x:f>
        <x:v>Reel</x:v>
      </x:c>
      <x:c r="F150" s="69" t="str">
        <x:f>INDEX('Calendário'!$G$9:$G$214,MATCH($C150,'Calendário'!$B$9:$B$214,0))</x:f>
        <x:v>Exemplo prático: observações de campo.</x:v>
      </x:c>
      <x:c r="G150" s="78" t="str">
        <x:f>IF(INDEX('Calendário'!$P$9:$P$214,MATCH($C150,'Calendário'!$B$9:$B$214,0))="","",INDEX('Calendário'!$P$9:$P$214,MATCH($C150,'Calendário'!$B$9:$B$214,0)))</x:f>
      </x:c>
      <x:c r="H150" s="75" t="str">
        <x:v>Não iniciada</x:v>
      </x:c>
      <x:c r="I150" s="75" t="str">
        <x:v>Não iniciado</x:v>
      </x:c>
      <x:c r="J150" s="75" t="str">
        <x:v>Pendente</x:v>
      </x:c>
      <x:c r="K150" s="75" t="str">
        <x:v>Pendente</x:v>
      </x:c>
      <x:c r="L150" s="87" t="str">
        <x:f>(COUNTIFS('Calendário'!$B$9:$B$214,$C150,'Calendário'!$J$9:$J$214,"Agendado")+COUNTIFS('Calendário'!$B$9:$B$214,$C150,'Calendário'!$K$9:$K$214,"Agendado")+COUNTIFS('Calendário'!$B$9:$B$214,$C150,'Calendário'!$M$9:$M$214,"Agendado")+COUNTIFS('Calendário'!$B$9:$B$214,$C150,'Calendário'!$N$9:$N$214,"Agendado")+COUNTIFS('Calendário'!$B$9:$B$214,$C150,'Calendário'!$O$9:$O$214,"Agendado")+COUNTIFS('Calendário'!$B$9:$B$214,$C150,'Calendário'!$J$9:$J$214,"Publicado")+COUNTIFS('Calendário'!$B$9:$B$214,$C150,'Calendário'!$K$9:$K$214,"Publicado")+COUNTIFS('Calendário'!$B$9:$B$214,$C150,'Calendário'!$M$9:$M$214,"Publicado")+COUNTIFS('Calendário'!$B$9:$B$214,$C150,'Calendário'!$N$9:$N$214,"Publicado")+COUNTIFS('Calendário'!$B$9:$B$214,$C150,'Calendário'!$O$9:$O$214,"Publicado"))&amp;" de "&amp;(5-COUNTIFS('Calendário'!$B$9:$B$214,$C150,'Calendário'!$N$9:$N$214,"Não se aplica")-COUNTIFS('Calendário'!$B$9:$B$214,$C150,'Calendário'!$O$9:$O$214,"Não se aplica"))</x:f>
        <x:v>0 de 5</x:v>
      </x:c>
      <x:c r="M150" s="87" t="str">
        <x:f>(COUNTIFS('Calendário'!$B$9:$B$214,$C150,'Calendário'!$J$9:$J$214,"Publicado")+COUNTIFS('Calendário'!$B$9:$B$214,$C150,'Calendário'!$K$9:$K$214,"Publicado")+COUNTIFS('Calendário'!$B$9:$B$214,$C150,'Calendário'!$M$9:$M$214,"Publicado")+COUNTIFS('Calendário'!$B$9:$B$214,$C150,'Calendário'!$N$9:$N$214,"Publicado")+COUNTIFS('Calendário'!$B$9:$B$214,$C150,'Calendário'!$O$9:$O$214,"Publicado"))&amp;" de "&amp;(5-COUNTIFS('Calendário'!$B$9:$B$214,$C150,'Calendário'!$N$9:$N$214,"Não se aplica")-COUNTIFS('Calendário'!$B$9:$B$214,$C150,'Calendário'!$O$9:$O$214,"Não se aplica"))</x:f>
        <x:v>0 de 5</x:v>
      </x:c>
      <x:c r="N150" s="75"/>
      <x:c r="O150" s="75"/>
      <x:c r="P150" s="61"/>
    </x:row>
    <x:row r="151" ht="57" customHeight="1">
      <x:c r="A151" s="61"/>
      <x:c r="B151" s="69" t="str">
        <x:f>TEXT(D151,"yyyy-mm")</x:f>
        <x:v>2027-05</x:v>
      </x:c>
      <x:c r="C151" s="72" t="str">
        <x:v>P143</x:v>
      </x:c>
      <x:c r="D151" s="90" t="n">
        <x:f>INDEX('Calendário'!$C$9:$C$214,MATCH($C151,'Calendário'!$B$9:$B$214,0))</x:f>
        <x:v>46528.5</x:v>
      </x:c>
      <x:c r="E151" s="69" t="str">
        <x:f>INDEX('Calendário'!$F$9:$F$214,MATCH($C151,'Calendário'!$B$9:$B$214,0))</x:f>
        <x:v>Carrossel</x:v>
      </x:c>
      <x:c r="F151" s="69" t="str">
        <x:f>INDEX('Calendário'!$G$9:$G$214,MATCH($C151,'Calendário'!$B$9:$B$214,0))</x:f>
        <x:v>Checklist: observações de campo.</x:v>
      </x:c>
      <x:c r="G151" s="78" t="str">
        <x:f>IF(INDEX('Calendário'!$P$9:$P$214,MATCH($C151,'Calendário'!$B$9:$B$214,0))="","",INDEX('Calendário'!$P$9:$P$214,MATCH($C151,'Calendário'!$B$9:$B$214,0)))</x:f>
      </x:c>
      <x:c r="H151" s="75" t="str">
        <x:v>Não iniciada</x:v>
      </x:c>
      <x:c r="I151" s="75" t="str">
        <x:v>Não se aplica</x:v>
      </x:c>
      <x:c r="J151" s="75" t="str">
        <x:v>Pendente</x:v>
      </x:c>
      <x:c r="K151" s="75" t="str">
        <x:v>Pendente</x:v>
      </x:c>
      <x:c r="L151" s="87" t="str">
        <x:f>(COUNTIFS('Calendário'!$B$9:$B$214,$C151,'Calendário'!$J$9:$J$214,"Agendado")+COUNTIFS('Calendário'!$B$9:$B$214,$C151,'Calendário'!$K$9:$K$214,"Agendado")+COUNTIFS('Calendário'!$B$9:$B$214,$C151,'Calendário'!$M$9:$M$214,"Agendado")+COUNTIFS('Calendário'!$B$9:$B$214,$C151,'Calendário'!$N$9:$N$214,"Agendado")+COUNTIFS('Calendário'!$B$9:$B$214,$C151,'Calendário'!$O$9:$O$214,"Agendado")+COUNTIFS('Calendário'!$B$9:$B$214,$C151,'Calendário'!$J$9:$J$214,"Publicado")+COUNTIFS('Calendário'!$B$9:$B$214,$C151,'Calendário'!$K$9:$K$214,"Publicado")+COUNTIFS('Calendário'!$B$9:$B$214,$C151,'Calendário'!$M$9:$M$214,"Publicado")+COUNTIFS('Calendário'!$B$9:$B$214,$C151,'Calendário'!$N$9:$N$214,"Publicado")+COUNTIFS('Calendário'!$B$9:$B$214,$C151,'Calendário'!$O$9:$O$214,"Publicado"))&amp;" de "&amp;(5-COUNTIFS('Calendário'!$B$9:$B$214,$C151,'Calendário'!$N$9:$N$214,"Não se aplica")-COUNTIFS('Calendário'!$B$9:$B$214,$C151,'Calendário'!$O$9:$O$214,"Não se aplica"))</x:f>
        <x:v>0 de 3</x:v>
      </x:c>
      <x:c r="M151" s="87" t="str">
        <x:f>(COUNTIFS('Calendário'!$B$9:$B$214,$C151,'Calendário'!$J$9:$J$214,"Publicado")+COUNTIFS('Calendário'!$B$9:$B$214,$C151,'Calendário'!$K$9:$K$214,"Publicado")+COUNTIFS('Calendário'!$B$9:$B$214,$C151,'Calendário'!$M$9:$M$214,"Publicado")+COUNTIFS('Calendário'!$B$9:$B$214,$C151,'Calendário'!$N$9:$N$214,"Publicado")+COUNTIFS('Calendário'!$B$9:$B$214,$C151,'Calendário'!$O$9:$O$214,"Publicado"))&amp;" de "&amp;(5-COUNTIFS('Calendário'!$B$9:$B$214,$C151,'Calendário'!$N$9:$N$214,"Não se aplica")-COUNTIFS('Calendário'!$B$9:$B$214,$C151,'Calendário'!$O$9:$O$214,"Não se aplica"))</x:f>
        <x:v>0 de 3</x:v>
      </x:c>
      <x:c r="N151" s="75"/>
      <x:c r="O151" s="75"/>
      <x:c r="P151" s="61"/>
    </x:row>
    <x:row r="152" ht="57" customHeight="1">
      <x:c r="A152" s="61"/>
      <x:c r="B152" s="69" t="str">
        <x:f>TEXT(D152,"yyyy-mm")</x:f>
        <x:v>2027-05</x:v>
      </x:c>
      <x:c r="C152" s="72" t="str">
        <x:v>P144</x:v>
      </x:c>
      <x:c r="D152" s="90" t="n">
        <x:f>INDEX('Calendário'!$C$9:$C$214,MATCH($C152,'Calendário'!$B$9:$B$214,0))</x:f>
        <x:v>46529.5</x:v>
      </x:c>
      <x:c r="E152" s="69" t="str">
        <x:f>INDEX('Calendário'!$F$9:$F$214,MATCH($C152,'Calendário'!$B$9:$B$214,0))</x:f>
        <x:v>Estático</x:v>
      </x:c>
      <x:c r="F152" s="69" t="str">
        <x:f>INDEX('Calendário'!$G$9:$G$214,MATCH($C152,'Calendário'!$B$9:$B$214,0))</x:f>
        <x:v>Converse com a Arxis sobre observações de
campo.</x:v>
      </x:c>
      <x:c r="G152" s="78" t="str">
        <x:f>IF(INDEX('Calendário'!$P$9:$P$214,MATCH($C152,'Calendário'!$B$9:$B$214,0))="","",INDEX('Calendário'!$P$9:$P$214,MATCH($C152,'Calendário'!$B$9:$B$214,0)))</x:f>
      </x:c>
      <x:c r="H152" s="75" t="str">
        <x:v>Não iniciada</x:v>
      </x:c>
      <x:c r="I152" s="75" t="str">
        <x:v>Não se aplica</x:v>
      </x:c>
      <x:c r="J152" s="75" t="str">
        <x:v>Pendente</x:v>
      </x:c>
      <x:c r="K152" s="75" t="str">
        <x:v>Pendente</x:v>
      </x:c>
      <x:c r="L152" s="87" t="str">
        <x:f>(COUNTIFS('Calendário'!$B$9:$B$214,$C152,'Calendário'!$J$9:$J$214,"Agendado")+COUNTIFS('Calendário'!$B$9:$B$214,$C152,'Calendário'!$K$9:$K$214,"Agendado")+COUNTIFS('Calendário'!$B$9:$B$214,$C152,'Calendário'!$M$9:$M$214,"Agendado")+COUNTIFS('Calendário'!$B$9:$B$214,$C152,'Calendário'!$N$9:$N$214,"Agendado")+COUNTIFS('Calendário'!$B$9:$B$214,$C152,'Calendário'!$O$9:$O$214,"Agendado")+COUNTIFS('Calendário'!$B$9:$B$214,$C152,'Calendário'!$J$9:$J$214,"Publicado")+COUNTIFS('Calendário'!$B$9:$B$214,$C152,'Calendário'!$K$9:$K$214,"Publicado")+COUNTIFS('Calendário'!$B$9:$B$214,$C152,'Calendário'!$M$9:$M$214,"Publicado")+COUNTIFS('Calendário'!$B$9:$B$214,$C152,'Calendário'!$N$9:$N$214,"Publicado")+COUNTIFS('Calendário'!$B$9:$B$214,$C152,'Calendário'!$O$9:$O$214,"Publicado"))&amp;" de "&amp;(5-COUNTIFS('Calendário'!$B$9:$B$214,$C152,'Calendário'!$N$9:$N$214,"Não se aplica")-COUNTIFS('Calendário'!$B$9:$B$214,$C152,'Calendário'!$O$9:$O$214,"Não se aplica"))</x:f>
        <x:v>0 de 3</x:v>
      </x:c>
      <x:c r="M152" s="87" t="str">
        <x:f>(COUNTIFS('Calendário'!$B$9:$B$214,$C152,'Calendário'!$J$9:$J$214,"Publicado")+COUNTIFS('Calendário'!$B$9:$B$214,$C152,'Calendário'!$K$9:$K$214,"Publicado")+COUNTIFS('Calendário'!$B$9:$B$214,$C152,'Calendário'!$M$9:$M$214,"Publicado")+COUNTIFS('Calendário'!$B$9:$B$214,$C152,'Calendário'!$N$9:$N$214,"Publicado")+COUNTIFS('Calendário'!$B$9:$B$214,$C152,'Calendário'!$O$9:$O$214,"Publicado"))&amp;" de "&amp;(5-COUNTIFS('Calendário'!$B$9:$B$214,$C152,'Calendário'!$N$9:$N$214,"Não se aplica")-COUNTIFS('Calendário'!$B$9:$B$214,$C152,'Calendário'!$O$9:$O$214,"Não se aplica"))</x:f>
        <x:v>0 de 3</x:v>
      </x:c>
      <x:c r="N152" s="75"/>
      <x:c r="O152" s="75"/>
      <x:c r="P152" s="61"/>
    </x:row>
    <x:row r="153" ht="57" customHeight="1">
      <x:c r="A153" s="61"/>
      <x:c r="B153" s="69" t="str">
        <x:f>TEXT(D153,"yyyy-mm")</x:f>
        <x:v>2027-05</x:v>
      </x:c>
      <x:c r="C153" s="72" t="str">
        <x:v>P145</x:v>
      </x:c>
      <x:c r="D153" s="90" t="n">
        <x:f>INDEX('Calendário'!$C$9:$C$214,MATCH($C153,'Calendário'!$B$9:$B$214,0))</x:f>
        <x:v>46531.5</x:v>
      </x:c>
      <x:c r="E153" s="69" t="str">
        <x:f>INDEX('Calendário'!$F$9:$F$214,MATCH($C153,'Calendário'!$B$9:$B$214,0))</x:f>
        <x:v>Carrossel</x:v>
      </x:c>
      <x:c r="F153" s="69" t="str">
        <x:f>INDEX('Calendário'!$G$9:$G$214,MATCH($C153,'Calendário'!$B$9:$B$214,0))</x:f>
        <x:v>Qual fluxo cabe em um primeiro
experimento?</x:v>
      </x:c>
      <x:c r="G153" s="78" t="str">
        <x:f>IF(INDEX('Calendário'!$P$9:$P$214,MATCH($C153,'Calendário'!$B$9:$B$214,0))="","",INDEX('Calendário'!$P$9:$P$214,MATCH($C153,'Calendário'!$B$9:$B$214,0)))</x:f>
      </x:c>
      <x:c r="H153" s="75" t="str">
        <x:v>Não iniciada</x:v>
      </x:c>
      <x:c r="I153" s="75" t="str">
        <x:v>Não se aplica</x:v>
      </x:c>
      <x:c r="J153" s="75" t="str">
        <x:v>Pendente</x:v>
      </x:c>
      <x:c r="K153" s="75" t="str">
        <x:v>Pendente</x:v>
      </x:c>
      <x:c r="L153" s="87" t="str">
        <x:f>(COUNTIFS('Calendário'!$B$9:$B$214,$C153,'Calendário'!$J$9:$J$214,"Agendado")+COUNTIFS('Calendário'!$B$9:$B$214,$C153,'Calendário'!$K$9:$K$214,"Agendado")+COUNTIFS('Calendário'!$B$9:$B$214,$C153,'Calendário'!$M$9:$M$214,"Agendado")+COUNTIFS('Calendário'!$B$9:$B$214,$C153,'Calendário'!$N$9:$N$214,"Agendado")+COUNTIFS('Calendário'!$B$9:$B$214,$C153,'Calendário'!$O$9:$O$214,"Agendado")+COUNTIFS('Calendário'!$B$9:$B$214,$C153,'Calendário'!$J$9:$J$214,"Publicado")+COUNTIFS('Calendário'!$B$9:$B$214,$C153,'Calendário'!$K$9:$K$214,"Publicado")+COUNTIFS('Calendário'!$B$9:$B$214,$C153,'Calendário'!$M$9:$M$214,"Publicado")+COUNTIFS('Calendário'!$B$9:$B$214,$C153,'Calendário'!$N$9:$N$214,"Publicado")+COUNTIFS('Calendário'!$B$9:$B$214,$C153,'Calendário'!$O$9:$O$214,"Publicado"))&amp;" de "&amp;(5-COUNTIFS('Calendário'!$B$9:$B$214,$C153,'Calendário'!$N$9:$N$214,"Não se aplica")-COUNTIFS('Calendário'!$B$9:$B$214,$C153,'Calendário'!$O$9:$O$214,"Não se aplica"))</x:f>
        <x:v>0 de 3</x:v>
      </x:c>
      <x:c r="M153" s="87" t="str">
        <x:f>(COUNTIFS('Calendário'!$B$9:$B$214,$C153,'Calendário'!$J$9:$J$214,"Publicado")+COUNTIFS('Calendário'!$B$9:$B$214,$C153,'Calendário'!$K$9:$K$214,"Publicado")+COUNTIFS('Calendário'!$B$9:$B$214,$C153,'Calendário'!$M$9:$M$214,"Publicado")+COUNTIFS('Calendário'!$B$9:$B$214,$C153,'Calendário'!$N$9:$N$214,"Publicado")+COUNTIFS('Calendário'!$B$9:$B$214,$C153,'Calendário'!$O$9:$O$214,"Publicado"))&amp;" de "&amp;(5-COUNTIFS('Calendário'!$B$9:$B$214,$C153,'Calendário'!$N$9:$N$214,"Não se aplica")-COUNTIFS('Calendário'!$B$9:$B$214,$C153,'Calendário'!$O$9:$O$214,"Não se aplica"))</x:f>
        <x:v>0 de 3</x:v>
      </x:c>
      <x:c r="N153" s="75"/>
      <x:c r="O153" s="75"/>
      <x:c r="P153" s="61"/>
    </x:row>
    <x:row r="154" ht="57" customHeight="1">
      <x:c r="A154" s="61"/>
      <x:c r="B154" s="69" t="str">
        <x:f>TEXT(D154,"yyyy-mm")</x:f>
        <x:v>2027-05</x:v>
      </x:c>
      <x:c r="C154" s="72" t="str">
        <x:v>P146</x:v>
      </x:c>
      <x:c r="D154" s="90" t="n">
        <x:f>INDEX('Calendário'!$C$9:$C$214,MATCH($C154,'Calendário'!$B$9:$B$214,0))</x:f>
        <x:v>46533.5</x:v>
      </x:c>
      <x:c r="E154" s="69" t="str">
        <x:f>INDEX('Calendário'!$F$9:$F$214,MATCH($C154,'Calendário'!$B$9:$B$214,0))</x:f>
        <x:v>Reel</x:v>
      </x:c>
      <x:c r="F154" s="69" t="str">
        <x:f>INDEX('Calendário'!$G$9:$G$214,MATCH($C154,'Calendário'!$B$9:$B$214,0))</x:f>
        <x:v>Exemplo prático: escolha de piloto.</x:v>
      </x:c>
      <x:c r="G154" s="78" t="str">
        <x:f>IF(INDEX('Calendário'!$P$9:$P$214,MATCH($C154,'Calendário'!$B$9:$B$214,0))="","",INDEX('Calendário'!$P$9:$P$214,MATCH($C154,'Calendário'!$B$9:$B$214,0)))</x:f>
      </x:c>
      <x:c r="H154" s="75" t="str">
        <x:v>Não iniciada</x:v>
      </x:c>
      <x:c r="I154" s="75" t="str">
        <x:v>Não iniciado</x:v>
      </x:c>
      <x:c r="J154" s="75" t="str">
        <x:v>Pendente</x:v>
      </x:c>
      <x:c r="K154" s="75" t="str">
        <x:v>Pendente</x:v>
      </x:c>
      <x:c r="L154" s="87" t="str">
        <x:f>(COUNTIFS('Calendário'!$B$9:$B$214,$C154,'Calendário'!$J$9:$J$214,"Agendado")+COUNTIFS('Calendário'!$B$9:$B$214,$C154,'Calendário'!$K$9:$K$214,"Agendado")+COUNTIFS('Calendário'!$B$9:$B$214,$C154,'Calendário'!$M$9:$M$214,"Agendado")+COUNTIFS('Calendário'!$B$9:$B$214,$C154,'Calendário'!$N$9:$N$214,"Agendado")+COUNTIFS('Calendário'!$B$9:$B$214,$C154,'Calendário'!$O$9:$O$214,"Agendado")+COUNTIFS('Calendário'!$B$9:$B$214,$C154,'Calendário'!$J$9:$J$214,"Publicado")+COUNTIFS('Calendário'!$B$9:$B$214,$C154,'Calendário'!$K$9:$K$214,"Publicado")+COUNTIFS('Calendário'!$B$9:$B$214,$C154,'Calendário'!$M$9:$M$214,"Publicado")+COUNTIFS('Calendário'!$B$9:$B$214,$C154,'Calendário'!$N$9:$N$214,"Publicado")+COUNTIFS('Calendário'!$B$9:$B$214,$C154,'Calendário'!$O$9:$O$214,"Publicado"))&amp;" de "&amp;(5-COUNTIFS('Calendário'!$B$9:$B$214,$C154,'Calendário'!$N$9:$N$214,"Não se aplica")-COUNTIFS('Calendário'!$B$9:$B$214,$C154,'Calendário'!$O$9:$O$214,"Não se aplica"))</x:f>
        <x:v>0 de 5</x:v>
      </x:c>
      <x:c r="M154" s="87" t="str">
        <x:f>(COUNTIFS('Calendário'!$B$9:$B$214,$C154,'Calendário'!$J$9:$J$214,"Publicado")+COUNTIFS('Calendário'!$B$9:$B$214,$C154,'Calendário'!$K$9:$K$214,"Publicado")+COUNTIFS('Calendário'!$B$9:$B$214,$C154,'Calendário'!$M$9:$M$214,"Publicado")+COUNTIFS('Calendário'!$B$9:$B$214,$C154,'Calendário'!$N$9:$N$214,"Publicado")+COUNTIFS('Calendário'!$B$9:$B$214,$C154,'Calendário'!$O$9:$O$214,"Publicado"))&amp;" de "&amp;(5-COUNTIFS('Calendário'!$B$9:$B$214,$C154,'Calendário'!$N$9:$N$214,"Não se aplica")-COUNTIFS('Calendário'!$B$9:$B$214,$C154,'Calendário'!$O$9:$O$214,"Não se aplica"))</x:f>
        <x:v>0 de 5</x:v>
      </x:c>
      <x:c r="N154" s="75"/>
      <x:c r="O154" s="75"/>
      <x:c r="P154" s="61"/>
    </x:row>
    <x:row r="155" ht="57" customHeight="1">
      <x:c r="A155" s="61"/>
      <x:c r="B155" s="69" t="str">
        <x:f>TEXT(D155,"yyyy-mm")</x:f>
        <x:v>2027-05</x:v>
      </x:c>
      <x:c r="C155" s="72" t="str">
        <x:v>P147</x:v>
      </x:c>
      <x:c r="D155" s="90" t="n">
        <x:f>INDEX('Calendário'!$C$9:$C$214,MATCH($C155,'Calendário'!$B$9:$B$214,0))</x:f>
        <x:v>46535.5</x:v>
      </x:c>
      <x:c r="E155" s="69" t="str">
        <x:f>INDEX('Calendário'!$F$9:$F$214,MATCH($C155,'Calendário'!$B$9:$B$214,0))</x:f>
        <x:v>Carrossel</x:v>
      </x:c>
      <x:c r="F155" s="69" t="str">
        <x:f>INDEX('Calendário'!$G$9:$G$214,MATCH($C155,'Calendário'!$B$9:$B$214,0))</x:f>
        <x:v>Checklist: escolha de piloto.</x:v>
      </x:c>
      <x:c r="G155" s="78" t="str">
        <x:f>IF(INDEX('Calendário'!$P$9:$P$214,MATCH($C155,'Calendário'!$B$9:$B$214,0))="","",INDEX('Calendário'!$P$9:$P$214,MATCH($C155,'Calendário'!$B$9:$B$214,0)))</x:f>
      </x:c>
      <x:c r="H155" s="75" t="str">
        <x:v>Não iniciada</x:v>
      </x:c>
      <x:c r="I155" s="75" t="str">
        <x:v>Não se aplica</x:v>
      </x:c>
      <x:c r="J155" s="75" t="str">
        <x:v>Pendente</x:v>
      </x:c>
      <x:c r="K155" s="75" t="str">
        <x:v>Pendente</x:v>
      </x:c>
      <x:c r="L155" s="87" t="str">
        <x:f>(COUNTIFS('Calendário'!$B$9:$B$214,$C155,'Calendário'!$J$9:$J$214,"Agendado")+COUNTIFS('Calendário'!$B$9:$B$214,$C155,'Calendário'!$K$9:$K$214,"Agendado")+COUNTIFS('Calendário'!$B$9:$B$214,$C155,'Calendário'!$M$9:$M$214,"Agendado")+COUNTIFS('Calendário'!$B$9:$B$214,$C155,'Calendário'!$N$9:$N$214,"Agendado")+COUNTIFS('Calendário'!$B$9:$B$214,$C155,'Calendário'!$O$9:$O$214,"Agendado")+COUNTIFS('Calendário'!$B$9:$B$214,$C155,'Calendário'!$J$9:$J$214,"Publicado")+COUNTIFS('Calendário'!$B$9:$B$214,$C155,'Calendário'!$K$9:$K$214,"Publicado")+COUNTIFS('Calendário'!$B$9:$B$214,$C155,'Calendário'!$M$9:$M$214,"Publicado")+COUNTIFS('Calendário'!$B$9:$B$214,$C155,'Calendário'!$N$9:$N$214,"Publicado")+COUNTIFS('Calendário'!$B$9:$B$214,$C155,'Calendário'!$O$9:$O$214,"Publicado"))&amp;" de "&amp;(5-COUNTIFS('Calendário'!$B$9:$B$214,$C155,'Calendário'!$N$9:$N$214,"Não se aplica")-COUNTIFS('Calendário'!$B$9:$B$214,$C155,'Calendário'!$O$9:$O$214,"Não se aplica"))</x:f>
        <x:v>0 de 3</x:v>
      </x:c>
      <x:c r="M155" s="87" t="str">
        <x:f>(COUNTIFS('Calendário'!$B$9:$B$214,$C155,'Calendário'!$J$9:$J$214,"Publicado")+COUNTIFS('Calendário'!$B$9:$B$214,$C155,'Calendário'!$K$9:$K$214,"Publicado")+COUNTIFS('Calendário'!$B$9:$B$214,$C155,'Calendário'!$M$9:$M$214,"Publicado")+COUNTIFS('Calendário'!$B$9:$B$214,$C155,'Calendário'!$N$9:$N$214,"Publicado")+COUNTIFS('Calendário'!$B$9:$B$214,$C155,'Calendário'!$O$9:$O$214,"Publicado"))&amp;" de "&amp;(5-COUNTIFS('Calendário'!$B$9:$B$214,$C155,'Calendário'!$N$9:$N$214,"Não se aplica")-COUNTIFS('Calendário'!$B$9:$B$214,$C155,'Calendário'!$O$9:$O$214,"Não se aplica"))</x:f>
        <x:v>0 de 3</x:v>
      </x:c>
      <x:c r="N155" s="75"/>
      <x:c r="O155" s="75"/>
      <x:c r="P155" s="61"/>
    </x:row>
    <x:row r="156" ht="57" customHeight="1">
      <x:c r="A156" s="61"/>
      <x:c r="B156" s="69" t="str">
        <x:f>TEXT(D156,"yyyy-mm")</x:f>
        <x:v>2027-05</x:v>
      </x:c>
      <x:c r="C156" s="72" t="str">
        <x:v>P148</x:v>
      </x:c>
      <x:c r="D156" s="90" t="n">
        <x:f>INDEX('Calendário'!$C$9:$C$214,MATCH($C156,'Calendário'!$B$9:$B$214,0))</x:f>
        <x:v>46536.5</x:v>
      </x:c>
      <x:c r="E156" s="69" t="str">
        <x:f>INDEX('Calendário'!$F$9:$F$214,MATCH($C156,'Calendário'!$B$9:$B$214,0))</x:f>
        <x:v>Estático</x:v>
      </x:c>
      <x:c r="F156" s="69" t="str">
        <x:f>INDEX('Calendário'!$G$9:$G$214,MATCH($C156,'Calendário'!$B$9:$B$214,0))</x:f>
        <x:v>Qual tarefa da sua equipe poderia virar
um piloto?</x:v>
      </x:c>
      <x:c r="G156" s="78" t="str">
        <x:f>IF(INDEX('Calendário'!$P$9:$P$214,MATCH($C156,'Calendário'!$B$9:$B$214,0))="","",INDEX('Calendário'!$P$9:$P$214,MATCH($C156,'Calendário'!$B$9:$B$214,0)))</x:f>
      </x:c>
      <x:c r="H156" s="75" t="str">
        <x:v>Não iniciada</x:v>
      </x:c>
      <x:c r="I156" s="75" t="str">
        <x:v>Não se aplica</x:v>
      </x:c>
      <x:c r="J156" s="75" t="str">
        <x:v>Pendente</x:v>
      </x:c>
      <x:c r="K156" s="75" t="str">
        <x:v>Pendente</x:v>
      </x:c>
      <x:c r="L156" s="87" t="str">
        <x:f>(COUNTIFS('Calendário'!$B$9:$B$214,$C156,'Calendário'!$J$9:$J$214,"Agendado")+COUNTIFS('Calendário'!$B$9:$B$214,$C156,'Calendário'!$K$9:$K$214,"Agendado")+COUNTIFS('Calendário'!$B$9:$B$214,$C156,'Calendário'!$M$9:$M$214,"Agendado")+COUNTIFS('Calendário'!$B$9:$B$214,$C156,'Calendário'!$N$9:$N$214,"Agendado")+COUNTIFS('Calendário'!$B$9:$B$214,$C156,'Calendário'!$O$9:$O$214,"Agendado")+COUNTIFS('Calendário'!$B$9:$B$214,$C156,'Calendário'!$J$9:$J$214,"Publicado")+COUNTIFS('Calendário'!$B$9:$B$214,$C156,'Calendário'!$K$9:$K$214,"Publicado")+COUNTIFS('Calendário'!$B$9:$B$214,$C156,'Calendário'!$M$9:$M$214,"Publicado")+COUNTIFS('Calendário'!$B$9:$B$214,$C156,'Calendário'!$N$9:$N$214,"Publicado")+COUNTIFS('Calendário'!$B$9:$B$214,$C156,'Calendário'!$O$9:$O$214,"Publicado"))&amp;" de "&amp;(5-COUNTIFS('Calendário'!$B$9:$B$214,$C156,'Calendário'!$N$9:$N$214,"Não se aplica")-COUNTIFS('Calendário'!$B$9:$B$214,$C156,'Calendário'!$O$9:$O$214,"Não se aplica"))</x:f>
        <x:v>0 de 3</x:v>
      </x:c>
      <x:c r="M156" s="87" t="str">
        <x:f>(COUNTIFS('Calendário'!$B$9:$B$214,$C156,'Calendário'!$J$9:$J$214,"Publicado")+COUNTIFS('Calendário'!$B$9:$B$214,$C156,'Calendário'!$K$9:$K$214,"Publicado")+COUNTIFS('Calendário'!$B$9:$B$214,$C156,'Calendário'!$M$9:$M$214,"Publicado")+COUNTIFS('Calendário'!$B$9:$B$214,$C156,'Calendário'!$N$9:$N$214,"Publicado")+COUNTIFS('Calendário'!$B$9:$B$214,$C156,'Calendário'!$O$9:$O$214,"Publicado"))&amp;" de "&amp;(5-COUNTIFS('Calendário'!$B$9:$B$214,$C156,'Calendário'!$N$9:$N$214,"Não se aplica")-COUNTIFS('Calendário'!$B$9:$B$214,$C156,'Calendário'!$O$9:$O$214,"Não se aplica"))</x:f>
        <x:v>0 de 3</x:v>
      </x:c>
      <x:c r="N156" s="75"/>
      <x:c r="O156" s="75"/>
      <x:c r="P156" s="61"/>
    </x:row>
    <x:row r="157" ht="57" customHeight="1">
      <x:c r="A157" s="61"/>
      <x:c r="B157" s="69" t="str">
        <x:f>TEXT(D157,"yyyy-mm")</x:f>
        <x:v>2027-05</x:v>
      </x:c>
      <x:c r="C157" s="72" t="str">
        <x:v>P149</x:v>
      </x:c>
      <x:c r="D157" s="90" t="n">
        <x:f>INDEX('Calendário'!$C$9:$C$214,MATCH($C157,'Calendário'!$B$9:$B$214,0))</x:f>
        <x:v>46538.5</x:v>
      </x:c>
      <x:c r="E157" s="69" t="str">
        <x:f>INDEX('Calendário'!$F$9:$F$214,MATCH($C157,'Calendário'!$B$9:$B$214,0))</x:f>
        <x:v>Carrossel</x:v>
      </x:c>
      <x:c r="F157" s="69" t="str">
        <x:f>INDEX('Calendário'!$G$9:$G$214,MATCH($C157,'Calendário'!$B$9:$B$214,0))</x:f>
        <x:v>O treinamento começa por qual tarefa?</x:v>
      </x:c>
      <x:c r="G157" s="78" t="str">
        <x:f>IF(INDEX('Calendário'!$P$9:$P$214,MATCH($C157,'Calendário'!$B$9:$B$214,0))="","",INDEX('Calendário'!$P$9:$P$214,MATCH($C157,'Calendário'!$B$9:$B$214,0)))</x:f>
      </x:c>
      <x:c r="H157" s="75" t="str">
        <x:v>Não iniciada</x:v>
      </x:c>
      <x:c r="I157" s="75" t="str">
        <x:v>Não se aplica</x:v>
      </x:c>
      <x:c r="J157" s="75" t="str">
        <x:v>Pendente</x:v>
      </x:c>
      <x:c r="K157" s="75" t="str">
        <x:v>Pendente</x:v>
      </x:c>
      <x:c r="L157" s="87" t="str">
        <x:f>(COUNTIFS('Calendário'!$B$9:$B$214,$C157,'Calendário'!$J$9:$J$214,"Agendado")+COUNTIFS('Calendário'!$B$9:$B$214,$C157,'Calendário'!$K$9:$K$214,"Agendado")+COUNTIFS('Calendário'!$B$9:$B$214,$C157,'Calendário'!$M$9:$M$214,"Agendado")+COUNTIFS('Calendário'!$B$9:$B$214,$C157,'Calendário'!$N$9:$N$214,"Agendado")+COUNTIFS('Calendário'!$B$9:$B$214,$C157,'Calendário'!$O$9:$O$214,"Agendado")+COUNTIFS('Calendário'!$B$9:$B$214,$C157,'Calendário'!$J$9:$J$214,"Publicado")+COUNTIFS('Calendário'!$B$9:$B$214,$C157,'Calendário'!$K$9:$K$214,"Publicado")+COUNTIFS('Calendário'!$B$9:$B$214,$C157,'Calendário'!$M$9:$M$214,"Publicado")+COUNTIFS('Calendário'!$B$9:$B$214,$C157,'Calendário'!$N$9:$N$214,"Publicado")+COUNTIFS('Calendário'!$B$9:$B$214,$C157,'Calendário'!$O$9:$O$214,"Publicado"))&amp;" de "&amp;(5-COUNTIFS('Calendário'!$B$9:$B$214,$C157,'Calendário'!$N$9:$N$214,"Não se aplica")-COUNTIFS('Calendário'!$B$9:$B$214,$C157,'Calendário'!$O$9:$O$214,"Não se aplica"))</x:f>
        <x:v>0 de 3</x:v>
      </x:c>
      <x:c r="M157" s="87" t="str">
        <x:f>(COUNTIFS('Calendário'!$B$9:$B$214,$C157,'Calendário'!$J$9:$J$214,"Publicado")+COUNTIFS('Calendário'!$B$9:$B$214,$C157,'Calendário'!$K$9:$K$214,"Publicado")+COUNTIFS('Calendário'!$B$9:$B$214,$C157,'Calendário'!$M$9:$M$214,"Publicado")+COUNTIFS('Calendário'!$B$9:$B$214,$C157,'Calendário'!$N$9:$N$214,"Publicado")+COUNTIFS('Calendário'!$B$9:$B$214,$C157,'Calendário'!$O$9:$O$214,"Publicado"))&amp;" de "&amp;(5-COUNTIFS('Calendário'!$B$9:$B$214,$C157,'Calendário'!$N$9:$N$214,"Não se aplica")-COUNTIFS('Calendário'!$B$9:$B$214,$C157,'Calendário'!$O$9:$O$214,"Não se aplica"))</x:f>
        <x:v>0 de 3</x:v>
      </x:c>
      <x:c r="N157" s="75"/>
      <x:c r="O157" s="75"/>
      <x:c r="P157" s="61"/>
    </x:row>
    <x:row r="158" ht="57" customHeight="1">
      <x:c r="A158" s="61"/>
      <x:c r="B158" s="69" t="str">
        <x:f>TEXT(D158,"yyyy-mm")</x:f>
        <x:v>2027-06</x:v>
      </x:c>
      <x:c r="C158" s="72" t="str">
        <x:v>P150</x:v>
      </x:c>
      <x:c r="D158" s="90" t="n">
        <x:f>INDEX('Calendário'!$C$9:$C$214,MATCH($C158,'Calendário'!$B$9:$B$214,0))</x:f>
        <x:v>46540.5</x:v>
      </x:c>
      <x:c r="E158" s="69" t="str">
        <x:f>INDEX('Calendário'!$F$9:$F$214,MATCH($C158,'Calendário'!$B$9:$B$214,0))</x:f>
        <x:v>Reel</x:v>
      </x:c>
      <x:c r="F158" s="69" t="str">
        <x:f>INDEX('Calendário'!$G$9:$G$214,MATCH($C158,'Calendário'!$B$9:$B$214,0))</x:f>
        <x:v>Exemplo prático: aprendizado da equipe.</x:v>
      </x:c>
      <x:c r="G158" s="78" t="str">
        <x:f>IF(INDEX('Calendário'!$P$9:$P$214,MATCH($C158,'Calendário'!$B$9:$B$214,0))="","",INDEX('Calendário'!$P$9:$P$214,MATCH($C158,'Calendário'!$B$9:$B$214,0)))</x:f>
      </x:c>
      <x:c r="H158" s="75" t="str">
        <x:v>Não iniciada</x:v>
      </x:c>
      <x:c r="I158" s="75" t="str">
        <x:v>Não iniciado</x:v>
      </x:c>
      <x:c r="J158" s="75" t="str">
        <x:v>Pendente</x:v>
      </x:c>
      <x:c r="K158" s="75" t="str">
        <x:v>Pendente</x:v>
      </x:c>
      <x:c r="L158" s="87" t="str">
        <x:f>(COUNTIFS('Calendário'!$B$9:$B$214,$C158,'Calendário'!$J$9:$J$214,"Agendado")+COUNTIFS('Calendário'!$B$9:$B$214,$C158,'Calendário'!$K$9:$K$214,"Agendado")+COUNTIFS('Calendário'!$B$9:$B$214,$C158,'Calendário'!$M$9:$M$214,"Agendado")+COUNTIFS('Calendário'!$B$9:$B$214,$C158,'Calendário'!$N$9:$N$214,"Agendado")+COUNTIFS('Calendário'!$B$9:$B$214,$C158,'Calendário'!$O$9:$O$214,"Agendado")+COUNTIFS('Calendário'!$B$9:$B$214,$C158,'Calendário'!$J$9:$J$214,"Publicado")+COUNTIFS('Calendário'!$B$9:$B$214,$C158,'Calendário'!$K$9:$K$214,"Publicado")+COUNTIFS('Calendário'!$B$9:$B$214,$C158,'Calendário'!$M$9:$M$214,"Publicado")+COUNTIFS('Calendário'!$B$9:$B$214,$C158,'Calendário'!$N$9:$N$214,"Publicado")+COUNTIFS('Calendário'!$B$9:$B$214,$C158,'Calendário'!$O$9:$O$214,"Publicado"))&amp;" de "&amp;(5-COUNTIFS('Calendário'!$B$9:$B$214,$C158,'Calendário'!$N$9:$N$214,"Não se aplica")-COUNTIFS('Calendário'!$B$9:$B$214,$C158,'Calendário'!$O$9:$O$214,"Não se aplica"))</x:f>
        <x:v>0 de 5</x:v>
      </x:c>
      <x:c r="M158" s="87" t="str">
        <x:f>(COUNTIFS('Calendário'!$B$9:$B$214,$C158,'Calendário'!$J$9:$J$214,"Publicado")+COUNTIFS('Calendário'!$B$9:$B$214,$C158,'Calendário'!$K$9:$K$214,"Publicado")+COUNTIFS('Calendário'!$B$9:$B$214,$C158,'Calendário'!$M$9:$M$214,"Publicado")+COUNTIFS('Calendário'!$B$9:$B$214,$C158,'Calendário'!$N$9:$N$214,"Publicado")+COUNTIFS('Calendário'!$B$9:$B$214,$C158,'Calendário'!$O$9:$O$214,"Publicado"))&amp;" de "&amp;(5-COUNTIFS('Calendário'!$B$9:$B$214,$C158,'Calendário'!$N$9:$N$214,"Não se aplica")-COUNTIFS('Calendário'!$B$9:$B$214,$C158,'Calendário'!$O$9:$O$214,"Não se aplica"))</x:f>
        <x:v>0 de 5</x:v>
      </x:c>
      <x:c r="N158" s="75"/>
      <x:c r="O158" s="75"/>
      <x:c r="P158" s="61"/>
    </x:row>
    <x:row r="159" ht="57" customHeight="1">
      <x:c r="A159" s="61"/>
      <x:c r="B159" s="69" t="str">
        <x:f>TEXT(D159,"yyyy-mm")</x:f>
        <x:v>2027-06</x:v>
      </x:c>
      <x:c r="C159" s="72" t="str">
        <x:v>P151</x:v>
      </x:c>
      <x:c r="D159" s="90" t="n">
        <x:f>INDEX('Calendário'!$C$9:$C$214,MATCH($C159,'Calendário'!$B$9:$B$214,0))</x:f>
        <x:v>46542.5</x:v>
      </x:c>
      <x:c r="E159" s="69" t="str">
        <x:f>INDEX('Calendário'!$F$9:$F$214,MATCH($C159,'Calendário'!$B$9:$B$214,0))</x:f>
        <x:v>Carrossel</x:v>
      </x:c>
      <x:c r="F159" s="69" t="str">
        <x:f>INDEX('Calendário'!$G$9:$G$214,MATCH($C159,'Calendário'!$B$9:$B$214,0))</x:f>
        <x:v>Checklist: aprendizado da equipe.</x:v>
      </x:c>
      <x:c r="G159" s="78" t="str">
        <x:f>IF(INDEX('Calendário'!$P$9:$P$214,MATCH($C159,'Calendário'!$B$9:$B$214,0))="","",INDEX('Calendário'!$P$9:$P$214,MATCH($C159,'Calendário'!$B$9:$B$214,0)))</x:f>
      </x:c>
      <x:c r="H159" s="75" t="str">
        <x:v>Não iniciada</x:v>
      </x:c>
      <x:c r="I159" s="75" t="str">
        <x:v>Não se aplica</x:v>
      </x:c>
      <x:c r="J159" s="75" t="str">
        <x:v>Pendente</x:v>
      </x:c>
      <x:c r="K159" s="75" t="str">
        <x:v>Pendente</x:v>
      </x:c>
      <x:c r="L159" s="87" t="str">
        <x:f>(COUNTIFS('Calendário'!$B$9:$B$214,$C159,'Calendário'!$J$9:$J$214,"Agendado")+COUNTIFS('Calendário'!$B$9:$B$214,$C159,'Calendário'!$K$9:$K$214,"Agendado")+COUNTIFS('Calendário'!$B$9:$B$214,$C159,'Calendário'!$M$9:$M$214,"Agendado")+COUNTIFS('Calendário'!$B$9:$B$214,$C159,'Calendário'!$N$9:$N$214,"Agendado")+COUNTIFS('Calendário'!$B$9:$B$214,$C159,'Calendário'!$O$9:$O$214,"Agendado")+COUNTIFS('Calendário'!$B$9:$B$214,$C159,'Calendário'!$J$9:$J$214,"Publicado")+COUNTIFS('Calendário'!$B$9:$B$214,$C159,'Calendário'!$K$9:$K$214,"Publicado")+COUNTIFS('Calendário'!$B$9:$B$214,$C159,'Calendário'!$M$9:$M$214,"Publicado")+COUNTIFS('Calendário'!$B$9:$B$214,$C159,'Calendário'!$N$9:$N$214,"Publicado")+COUNTIFS('Calendário'!$B$9:$B$214,$C159,'Calendário'!$O$9:$O$214,"Publicado"))&amp;" de "&amp;(5-COUNTIFS('Calendário'!$B$9:$B$214,$C159,'Calendário'!$N$9:$N$214,"Não se aplica")-COUNTIFS('Calendário'!$B$9:$B$214,$C159,'Calendário'!$O$9:$O$214,"Não se aplica"))</x:f>
        <x:v>0 de 3</x:v>
      </x:c>
      <x:c r="M159" s="87" t="str">
        <x:f>(COUNTIFS('Calendário'!$B$9:$B$214,$C159,'Calendário'!$J$9:$J$214,"Publicado")+COUNTIFS('Calendário'!$B$9:$B$214,$C159,'Calendário'!$K$9:$K$214,"Publicado")+COUNTIFS('Calendário'!$B$9:$B$214,$C159,'Calendário'!$M$9:$M$214,"Publicado")+COUNTIFS('Calendário'!$B$9:$B$214,$C159,'Calendário'!$N$9:$N$214,"Publicado")+COUNTIFS('Calendário'!$B$9:$B$214,$C159,'Calendário'!$O$9:$O$214,"Publicado"))&amp;" de "&amp;(5-COUNTIFS('Calendário'!$B$9:$B$214,$C159,'Calendário'!$N$9:$N$214,"Não se aplica")-COUNTIFS('Calendário'!$B$9:$B$214,$C159,'Calendário'!$O$9:$O$214,"Não se aplica"))</x:f>
        <x:v>0 de 3</x:v>
      </x:c>
      <x:c r="N159" s="75"/>
      <x:c r="O159" s="75"/>
      <x:c r="P159" s="61"/>
    </x:row>
    <x:row r="160" ht="57" customHeight="1">
      <x:c r="A160" s="61"/>
      <x:c r="B160" s="69" t="str">
        <x:f>TEXT(D160,"yyyy-mm")</x:f>
        <x:v>2027-06</x:v>
      </x:c>
      <x:c r="C160" s="72" t="str">
        <x:v>P152</x:v>
      </x:c>
      <x:c r="D160" s="90" t="n">
        <x:f>INDEX('Calendário'!$C$9:$C$214,MATCH($C160,'Calendário'!$B$9:$B$214,0))</x:f>
        <x:v>46543.5</x:v>
      </x:c>
      <x:c r="E160" s="69" t="str">
        <x:f>INDEX('Calendário'!$F$9:$F$214,MATCH($C160,'Calendário'!$B$9:$B$214,0))</x:f>
        <x:v>Estático</x:v>
      </x:c>
      <x:c r="F160" s="69" t="str">
        <x:f>INDEX('Calendário'!$G$9:$G$214,MATCH($C160,'Calendário'!$B$9:$B$214,0))</x:f>
        <x:v>Qual tarefa você gostaria de praticar com
sua equipe?</x:v>
      </x:c>
      <x:c r="G160" s="78" t="str">
        <x:f>IF(INDEX('Calendário'!$P$9:$P$214,MATCH($C160,'Calendário'!$B$9:$B$214,0))="","",INDEX('Calendário'!$P$9:$P$214,MATCH($C160,'Calendário'!$B$9:$B$214,0)))</x:f>
      </x:c>
      <x:c r="H160" s="75" t="str">
        <x:v>Não iniciada</x:v>
      </x:c>
      <x:c r="I160" s="75" t="str">
        <x:v>Não se aplica</x:v>
      </x:c>
      <x:c r="J160" s="75" t="str">
        <x:v>Pendente</x:v>
      </x:c>
      <x:c r="K160" s="75" t="str">
        <x:v>Pendente</x:v>
      </x:c>
      <x:c r="L160" s="87" t="str">
        <x:f>(COUNTIFS('Calendário'!$B$9:$B$214,$C160,'Calendário'!$J$9:$J$214,"Agendado")+COUNTIFS('Calendário'!$B$9:$B$214,$C160,'Calendário'!$K$9:$K$214,"Agendado")+COUNTIFS('Calendário'!$B$9:$B$214,$C160,'Calendário'!$M$9:$M$214,"Agendado")+COUNTIFS('Calendário'!$B$9:$B$214,$C160,'Calendário'!$N$9:$N$214,"Agendado")+COUNTIFS('Calendário'!$B$9:$B$214,$C160,'Calendário'!$O$9:$O$214,"Agendado")+COUNTIFS('Calendário'!$B$9:$B$214,$C160,'Calendário'!$J$9:$J$214,"Publicado")+COUNTIFS('Calendário'!$B$9:$B$214,$C160,'Calendário'!$K$9:$K$214,"Publicado")+COUNTIFS('Calendário'!$B$9:$B$214,$C160,'Calendário'!$M$9:$M$214,"Publicado")+COUNTIFS('Calendário'!$B$9:$B$214,$C160,'Calendário'!$N$9:$N$214,"Publicado")+COUNTIFS('Calendário'!$B$9:$B$214,$C160,'Calendário'!$O$9:$O$214,"Publicado"))&amp;" de "&amp;(5-COUNTIFS('Calendário'!$B$9:$B$214,$C160,'Calendário'!$N$9:$N$214,"Não se aplica")-COUNTIFS('Calendário'!$B$9:$B$214,$C160,'Calendário'!$O$9:$O$214,"Não se aplica"))</x:f>
        <x:v>0 de 3</x:v>
      </x:c>
      <x:c r="M160" s="87" t="str">
        <x:f>(COUNTIFS('Calendário'!$B$9:$B$214,$C160,'Calendário'!$J$9:$J$214,"Publicado")+COUNTIFS('Calendário'!$B$9:$B$214,$C160,'Calendário'!$K$9:$K$214,"Publicado")+COUNTIFS('Calendário'!$B$9:$B$214,$C160,'Calendário'!$M$9:$M$214,"Publicado")+COUNTIFS('Calendário'!$B$9:$B$214,$C160,'Calendário'!$N$9:$N$214,"Publicado")+COUNTIFS('Calendário'!$B$9:$B$214,$C160,'Calendário'!$O$9:$O$214,"Publicado"))&amp;" de "&amp;(5-COUNTIFS('Calendário'!$B$9:$B$214,$C160,'Calendário'!$N$9:$N$214,"Não se aplica")-COUNTIFS('Calendário'!$B$9:$B$214,$C160,'Calendário'!$O$9:$O$214,"Não se aplica"))</x:f>
        <x:v>0 de 3</x:v>
      </x:c>
      <x:c r="N160" s="75"/>
      <x:c r="O160" s="75"/>
      <x:c r="P160" s="61"/>
    </x:row>
    <x:row r="161" ht="57" customHeight="1">
      <x:c r="A161" s="61"/>
      <x:c r="B161" s="69" t="str">
        <x:f>TEXT(D161,"yyyy-mm")</x:f>
        <x:v>2027-06</x:v>
      </x:c>
      <x:c r="C161" s="72" t="str">
        <x:v>P153</x:v>
      </x:c>
      <x:c r="D161" s="90" t="n">
        <x:f>INDEX('Calendário'!$C$9:$C$214,MATCH($C161,'Calendário'!$B$9:$B$214,0))</x:f>
        <x:v>46545.5</x:v>
      </x:c>
      <x:c r="E161" s="69" t="str">
        <x:f>INDEX('Calendário'!$F$9:$F$214,MATCH($C161,'Calendário'!$B$9:$B$214,0))</x:f>
        <x:v>Carrossel</x:v>
      </x:c>
      <x:c r="F161" s="69" t="str">
        <x:f>INDEX('Calendário'!$G$9:$G$214,MATCH($C161,'Calendário'!$B$9:$B$214,0))</x:f>
        <x:v>Como saber se o novo fluxo ajudou?</x:v>
      </x:c>
      <x:c r="G161" s="78" t="str">
        <x:f>IF(INDEX('Calendário'!$P$9:$P$214,MATCH($C161,'Calendário'!$B$9:$B$214,0))="","",INDEX('Calendário'!$P$9:$P$214,MATCH($C161,'Calendário'!$B$9:$B$214,0)))</x:f>
      </x:c>
      <x:c r="H161" s="75" t="str">
        <x:v>Não iniciada</x:v>
      </x:c>
      <x:c r="I161" s="75" t="str">
        <x:v>Não se aplica</x:v>
      </x:c>
      <x:c r="J161" s="75" t="str">
        <x:v>Pendente</x:v>
      </x:c>
      <x:c r="K161" s="75" t="str">
        <x:v>Pendente</x:v>
      </x:c>
      <x:c r="L161" s="87" t="str">
        <x:f>(COUNTIFS('Calendário'!$B$9:$B$214,$C161,'Calendário'!$J$9:$J$214,"Agendado")+COUNTIFS('Calendário'!$B$9:$B$214,$C161,'Calendário'!$K$9:$K$214,"Agendado")+COUNTIFS('Calendário'!$B$9:$B$214,$C161,'Calendário'!$M$9:$M$214,"Agendado")+COUNTIFS('Calendário'!$B$9:$B$214,$C161,'Calendário'!$N$9:$N$214,"Agendado")+COUNTIFS('Calendário'!$B$9:$B$214,$C161,'Calendário'!$O$9:$O$214,"Agendado")+COUNTIFS('Calendário'!$B$9:$B$214,$C161,'Calendário'!$J$9:$J$214,"Publicado")+COUNTIFS('Calendário'!$B$9:$B$214,$C161,'Calendário'!$K$9:$K$214,"Publicado")+COUNTIFS('Calendário'!$B$9:$B$214,$C161,'Calendário'!$M$9:$M$214,"Publicado")+COUNTIFS('Calendário'!$B$9:$B$214,$C161,'Calendário'!$N$9:$N$214,"Publicado")+COUNTIFS('Calendário'!$B$9:$B$214,$C161,'Calendário'!$O$9:$O$214,"Publicado"))&amp;" de "&amp;(5-COUNTIFS('Calendário'!$B$9:$B$214,$C161,'Calendário'!$N$9:$N$214,"Não se aplica")-COUNTIFS('Calendário'!$B$9:$B$214,$C161,'Calendário'!$O$9:$O$214,"Não se aplica"))</x:f>
        <x:v>0 de 3</x:v>
      </x:c>
      <x:c r="M161" s="87" t="str">
        <x:f>(COUNTIFS('Calendário'!$B$9:$B$214,$C161,'Calendário'!$J$9:$J$214,"Publicado")+COUNTIFS('Calendário'!$B$9:$B$214,$C161,'Calendário'!$K$9:$K$214,"Publicado")+COUNTIFS('Calendário'!$B$9:$B$214,$C161,'Calendário'!$M$9:$M$214,"Publicado")+COUNTIFS('Calendário'!$B$9:$B$214,$C161,'Calendário'!$N$9:$N$214,"Publicado")+COUNTIFS('Calendário'!$B$9:$B$214,$C161,'Calendário'!$O$9:$O$214,"Publicado"))&amp;" de "&amp;(5-COUNTIFS('Calendário'!$B$9:$B$214,$C161,'Calendário'!$N$9:$N$214,"Não se aplica")-COUNTIFS('Calendário'!$B$9:$B$214,$C161,'Calendário'!$O$9:$O$214,"Não se aplica"))</x:f>
        <x:v>0 de 3</x:v>
      </x:c>
      <x:c r="N161" s="75"/>
      <x:c r="O161" s="75"/>
      <x:c r="P161" s="61"/>
    </x:row>
    <x:row r="162" ht="57" customHeight="1">
      <x:c r="A162" s="61"/>
      <x:c r="B162" s="69" t="str">
        <x:f>TEXT(D162,"yyyy-mm")</x:f>
        <x:v>2027-06</x:v>
      </x:c>
      <x:c r="C162" s="72" t="str">
        <x:v>P154</x:v>
      </x:c>
      <x:c r="D162" s="90" t="n">
        <x:f>INDEX('Calendário'!$C$9:$C$214,MATCH($C162,'Calendário'!$B$9:$B$214,0))</x:f>
        <x:v>46547.5</x:v>
      </x:c>
      <x:c r="E162" s="69" t="str">
        <x:f>INDEX('Calendário'!$F$9:$F$214,MATCH($C162,'Calendário'!$B$9:$B$214,0))</x:f>
        <x:v>Reel</x:v>
      </x:c>
      <x:c r="F162" s="69" t="str">
        <x:f>INDEX('Calendário'!$G$9:$G$214,MATCH($C162,'Calendário'!$B$9:$B$214,0))</x:f>
        <x:v>Exemplo prático: critérios de sucesso.</x:v>
      </x:c>
      <x:c r="G162" s="78" t="str">
        <x:f>IF(INDEX('Calendário'!$P$9:$P$214,MATCH($C162,'Calendário'!$B$9:$B$214,0))="","",INDEX('Calendário'!$P$9:$P$214,MATCH($C162,'Calendário'!$B$9:$B$214,0)))</x:f>
      </x:c>
      <x:c r="H162" s="75" t="str">
        <x:v>Não iniciada</x:v>
      </x:c>
      <x:c r="I162" s="75" t="str">
        <x:v>Não iniciado</x:v>
      </x:c>
      <x:c r="J162" s="75" t="str">
        <x:v>Pendente</x:v>
      </x:c>
      <x:c r="K162" s="75" t="str">
        <x:v>Pendente</x:v>
      </x:c>
      <x:c r="L162" s="87" t="str">
        <x:f>(COUNTIFS('Calendário'!$B$9:$B$214,$C162,'Calendário'!$J$9:$J$214,"Agendado")+COUNTIFS('Calendário'!$B$9:$B$214,$C162,'Calendário'!$K$9:$K$214,"Agendado")+COUNTIFS('Calendário'!$B$9:$B$214,$C162,'Calendário'!$M$9:$M$214,"Agendado")+COUNTIFS('Calendário'!$B$9:$B$214,$C162,'Calendário'!$N$9:$N$214,"Agendado")+COUNTIFS('Calendário'!$B$9:$B$214,$C162,'Calendário'!$O$9:$O$214,"Agendado")+COUNTIFS('Calendário'!$B$9:$B$214,$C162,'Calendário'!$J$9:$J$214,"Publicado")+COUNTIFS('Calendário'!$B$9:$B$214,$C162,'Calendário'!$K$9:$K$214,"Publicado")+COUNTIFS('Calendário'!$B$9:$B$214,$C162,'Calendário'!$M$9:$M$214,"Publicado")+COUNTIFS('Calendário'!$B$9:$B$214,$C162,'Calendário'!$N$9:$N$214,"Publicado")+COUNTIFS('Calendário'!$B$9:$B$214,$C162,'Calendário'!$O$9:$O$214,"Publicado"))&amp;" de "&amp;(5-COUNTIFS('Calendário'!$B$9:$B$214,$C162,'Calendário'!$N$9:$N$214,"Não se aplica")-COUNTIFS('Calendário'!$B$9:$B$214,$C162,'Calendário'!$O$9:$O$214,"Não se aplica"))</x:f>
        <x:v>0 de 5</x:v>
      </x:c>
      <x:c r="M162" s="87" t="str">
        <x:f>(COUNTIFS('Calendário'!$B$9:$B$214,$C162,'Calendário'!$J$9:$J$214,"Publicado")+COUNTIFS('Calendário'!$B$9:$B$214,$C162,'Calendário'!$K$9:$K$214,"Publicado")+COUNTIFS('Calendário'!$B$9:$B$214,$C162,'Calendário'!$M$9:$M$214,"Publicado")+COUNTIFS('Calendário'!$B$9:$B$214,$C162,'Calendário'!$N$9:$N$214,"Publicado")+COUNTIFS('Calendário'!$B$9:$B$214,$C162,'Calendário'!$O$9:$O$214,"Publicado"))&amp;" de "&amp;(5-COUNTIFS('Calendário'!$B$9:$B$214,$C162,'Calendário'!$N$9:$N$214,"Não se aplica")-COUNTIFS('Calendário'!$B$9:$B$214,$C162,'Calendário'!$O$9:$O$214,"Não se aplica"))</x:f>
        <x:v>0 de 5</x:v>
      </x:c>
      <x:c r="N162" s="75"/>
      <x:c r="O162" s="75"/>
      <x:c r="P162" s="61"/>
    </x:row>
    <x:row r="163" ht="57" customHeight="1">
      <x:c r="A163" s="61"/>
      <x:c r="B163" s="69" t="str">
        <x:f>TEXT(D163,"yyyy-mm")</x:f>
        <x:v>2027-06</x:v>
      </x:c>
      <x:c r="C163" s="72" t="str">
        <x:v>P155</x:v>
      </x:c>
      <x:c r="D163" s="90" t="n">
        <x:f>INDEX('Calendário'!$C$9:$C$214,MATCH($C163,'Calendário'!$B$9:$B$214,0))</x:f>
        <x:v>46549.5</x:v>
      </x:c>
      <x:c r="E163" s="69" t="str">
        <x:f>INDEX('Calendário'!$F$9:$F$214,MATCH($C163,'Calendário'!$B$9:$B$214,0))</x:f>
        <x:v>Carrossel</x:v>
      </x:c>
      <x:c r="F163" s="69" t="str">
        <x:f>INDEX('Calendário'!$G$9:$G$214,MATCH($C163,'Calendário'!$B$9:$B$214,0))</x:f>
        <x:v>Checklist: critérios de sucesso.</x:v>
      </x:c>
      <x:c r="G163" s="78" t="str">
        <x:f>IF(INDEX('Calendário'!$P$9:$P$214,MATCH($C163,'Calendário'!$B$9:$B$214,0))="","",INDEX('Calendário'!$P$9:$P$214,MATCH($C163,'Calendário'!$B$9:$B$214,0)))</x:f>
      </x:c>
      <x:c r="H163" s="75" t="str">
        <x:v>Não iniciada</x:v>
      </x:c>
      <x:c r="I163" s="75" t="str">
        <x:v>Não se aplica</x:v>
      </x:c>
      <x:c r="J163" s="75" t="str">
        <x:v>Pendente</x:v>
      </x:c>
      <x:c r="K163" s="75" t="str">
        <x:v>Pendente</x:v>
      </x:c>
      <x:c r="L163" s="87" t="str">
        <x:f>(COUNTIFS('Calendário'!$B$9:$B$214,$C163,'Calendário'!$J$9:$J$214,"Agendado")+COUNTIFS('Calendário'!$B$9:$B$214,$C163,'Calendário'!$K$9:$K$214,"Agendado")+COUNTIFS('Calendário'!$B$9:$B$214,$C163,'Calendário'!$M$9:$M$214,"Agendado")+COUNTIFS('Calendário'!$B$9:$B$214,$C163,'Calendário'!$N$9:$N$214,"Agendado")+COUNTIFS('Calendário'!$B$9:$B$214,$C163,'Calendário'!$O$9:$O$214,"Agendado")+COUNTIFS('Calendário'!$B$9:$B$214,$C163,'Calendário'!$J$9:$J$214,"Publicado")+COUNTIFS('Calendário'!$B$9:$B$214,$C163,'Calendário'!$K$9:$K$214,"Publicado")+COUNTIFS('Calendário'!$B$9:$B$214,$C163,'Calendário'!$M$9:$M$214,"Publicado")+COUNTIFS('Calendário'!$B$9:$B$214,$C163,'Calendário'!$N$9:$N$214,"Publicado")+COUNTIFS('Calendário'!$B$9:$B$214,$C163,'Calendário'!$O$9:$O$214,"Publicado"))&amp;" de "&amp;(5-COUNTIFS('Calendário'!$B$9:$B$214,$C163,'Calendário'!$N$9:$N$214,"Não se aplica")-COUNTIFS('Calendário'!$B$9:$B$214,$C163,'Calendário'!$O$9:$O$214,"Não se aplica"))</x:f>
        <x:v>0 de 3</x:v>
      </x:c>
      <x:c r="M163" s="87" t="str">
        <x:f>(COUNTIFS('Calendário'!$B$9:$B$214,$C163,'Calendário'!$J$9:$J$214,"Publicado")+COUNTIFS('Calendário'!$B$9:$B$214,$C163,'Calendário'!$K$9:$K$214,"Publicado")+COUNTIFS('Calendário'!$B$9:$B$214,$C163,'Calendário'!$M$9:$M$214,"Publicado")+COUNTIFS('Calendário'!$B$9:$B$214,$C163,'Calendário'!$N$9:$N$214,"Publicado")+COUNTIFS('Calendário'!$B$9:$B$214,$C163,'Calendário'!$O$9:$O$214,"Publicado"))&amp;" de "&amp;(5-COUNTIFS('Calendário'!$B$9:$B$214,$C163,'Calendário'!$N$9:$N$214,"Não se aplica")-COUNTIFS('Calendário'!$B$9:$B$214,$C163,'Calendário'!$O$9:$O$214,"Não se aplica"))</x:f>
        <x:v>0 de 3</x:v>
      </x:c>
      <x:c r="N163" s="75"/>
      <x:c r="O163" s="75"/>
      <x:c r="P163" s="61"/>
    </x:row>
    <x:row r="164" ht="57" customHeight="1">
      <x:c r="A164" s="61"/>
      <x:c r="B164" s="69" t="str">
        <x:f>TEXT(D164,"yyyy-mm")</x:f>
        <x:v>2027-06</x:v>
      </x:c>
      <x:c r="C164" s="72" t="str">
        <x:v>P156</x:v>
      </x:c>
      <x:c r="D164" s="90" t="n">
        <x:f>INDEX('Calendário'!$C$9:$C$214,MATCH($C164,'Calendário'!$B$9:$B$214,0))</x:f>
        <x:v>46550.5</x:v>
      </x:c>
      <x:c r="E164" s="69" t="str">
        <x:f>INDEX('Calendário'!$F$9:$F$214,MATCH($C164,'Calendário'!$B$9:$B$214,0))</x:f>
        <x:v>Estático</x:v>
      </x:c>
      <x:c r="F164" s="69" t="str">
        <x:f>INDEX('Calendário'!$G$9:$G$214,MATCH($C164,'Calendário'!$B$9:$B$214,0))</x:f>
        <x:v>O que você mediria em um teste de fluxo?</x:v>
      </x:c>
      <x:c r="G164" s="78" t="str">
        <x:f>IF(INDEX('Calendário'!$P$9:$P$214,MATCH($C164,'Calendário'!$B$9:$B$214,0))="","",INDEX('Calendário'!$P$9:$P$214,MATCH($C164,'Calendário'!$B$9:$B$214,0)))</x:f>
      </x:c>
      <x:c r="H164" s="75" t="str">
        <x:v>Não iniciada</x:v>
      </x:c>
      <x:c r="I164" s="75" t="str">
        <x:v>Não se aplica</x:v>
      </x:c>
      <x:c r="J164" s="75" t="str">
        <x:v>Pendente</x:v>
      </x:c>
      <x:c r="K164" s="75" t="str">
        <x:v>Pendente</x:v>
      </x:c>
      <x:c r="L164" s="87" t="str">
        <x:f>(COUNTIFS('Calendário'!$B$9:$B$214,$C164,'Calendário'!$J$9:$J$214,"Agendado")+COUNTIFS('Calendário'!$B$9:$B$214,$C164,'Calendário'!$K$9:$K$214,"Agendado")+COUNTIFS('Calendário'!$B$9:$B$214,$C164,'Calendário'!$M$9:$M$214,"Agendado")+COUNTIFS('Calendário'!$B$9:$B$214,$C164,'Calendário'!$N$9:$N$214,"Agendado")+COUNTIFS('Calendário'!$B$9:$B$214,$C164,'Calendário'!$O$9:$O$214,"Agendado")+COUNTIFS('Calendário'!$B$9:$B$214,$C164,'Calendário'!$J$9:$J$214,"Publicado")+COUNTIFS('Calendário'!$B$9:$B$214,$C164,'Calendário'!$K$9:$K$214,"Publicado")+COUNTIFS('Calendário'!$B$9:$B$214,$C164,'Calendário'!$M$9:$M$214,"Publicado")+COUNTIFS('Calendário'!$B$9:$B$214,$C164,'Calendário'!$N$9:$N$214,"Publicado")+COUNTIFS('Calendário'!$B$9:$B$214,$C164,'Calendário'!$O$9:$O$214,"Publicado"))&amp;" de "&amp;(5-COUNTIFS('Calendário'!$B$9:$B$214,$C164,'Calendário'!$N$9:$N$214,"Não se aplica")-COUNTIFS('Calendário'!$B$9:$B$214,$C164,'Calendário'!$O$9:$O$214,"Não se aplica"))</x:f>
        <x:v>0 de 3</x:v>
      </x:c>
      <x:c r="M164" s="87" t="str">
        <x:f>(COUNTIFS('Calendário'!$B$9:$B$214,$C164,'Calendário'!$J$9:$J$214,"Publicado")+COUNTIFS('Calendário'!$B$9:$B$214,$C164,'Calendário'!$K$9:$K$214,"Publicado")+COUNTIFS('Calendário'!$B$9:$B$214,$C164,'Calendário'!$M$9:$M$214,"Publicado")+COUNTIFS('Calendário'!$B$9:$B$214,$C164,'Calendário'!$N$9:$N$214,"Publicado")+COUNTIFS('Calendário'!$B$9:$B$214,$C164,'Calendário'!$O$9:$O$214,"Publicado"))&amp;" de "&amp;(5-COUNTIFS('Calendário'!$B$9:$B$214,$C164,'Calendário'!$N$9:$N$214,"Não se aplica")-COUNTIFS('Calendário'!$B$9:$B$214,$C164,'Calendário'!$O$9:$O$214,"Não se aplica"))</x:f>
        <x:v>0 de 3</x:v>
      </x:c>
      <x:c r="N164" s="75"/>
      <x:c r="O164" s="75"/>
      <x:c r="P164" s="61"/>
    </x:row>
    <x:row r="165" ht="57" customHeight="1">
      <x:c r="A165" s="61"/>
      <x:c r="B165" s="69" t="str">
        <x:f>TEXT(D165,"yyyy-mm")</x:f>
        <x:v>2027-06</x:v>
      </x:c>
      <x:c r="C165" s="72" t="str">
        <x:v>P157</x:v>
      </x:c>
      <x:c r="D165" s="90" t="n">
        <x:f>INDEX('Calendário'!$C$9:$C$214,MATCH($C165,'Calendário'!$B$9:$B$214,0))</x:f>
        <x:v>46552.5</x:v>
      </x:c>
      <x:c r="E165" s="69" t="str">
        <x:f>INDEX('Calendário'!$F$9:$F$214,MATCH($C165,'Calendário'!$B$9:$B$214,0))</x:f>
        <x:v>Carrossel</x:v>
      </x:c>
      <x:c r="F165" s="69" t="str">
        <x:f>INDEX('Calendário'!$G$9:$G$214,MATCH($C165,'Calendário'!$B$9:$B$214,0))</x:f>
        <x:v>O teste representa a rotina de uso?</x:v>
      </x:c>
      <x:c r="G165" s="78" t="str">
        <x:f>IF(INDEX('Calendário'!$P$9:$P$214,MATCH($C165,'Calendário'!$B$9:$B$214,0))="","",INDEX('Calendário'!$P$9:$P$214,MATCH($C165,'Calendário'!$B$9:$B$214,0)))</x:f>
      </x:c>
      <x:c r="H165" s="75" t="str">
        <x:v>Não iniciada</x:v>
      </x:c>
      <x:c r="I165" s="75" t="str">
        <x:v>Não se aplica</x:v>
      </x:c>
      <x:c r="J165" s="75" t="str">
        <x:v>Pendente</x:v>
      </x:c>
      <x:c r="K165" s="75" t="str">
        <x:v>Pendente</x:v>
      </x:c>
      <x:c r="L165" s="87" t="str">
        <x:f>(COUNTIFS('Calendário'!$B$9:$B$214,$C165,'Calendário'!$J$9:$J$214,"Agendado")+COUNTIFS('Calendário'!$B$9:$B$214,$C165,'Calendário'!$K$9:$K$214,"Agendado")+COUNTIFS('Calendário'!$B$9:$B$214,$C165,'Calendário'!$M$9:$M$214,"Agendado")+COUNTIFS('Calendário'!$B$9:$B$214,$C165,'Calendário'!$N$9:$N$214,"Agendado")+COUNTIFS('Calendário'!$B$9:$B$214,$C165,'Calendário'!$O$9:$O$214,"Agendado")+COUNTIFS('Calendário'!$B$9:$B$214,$C165,'Calendário'!$J$9:$J$214,"Publicado")+COUNTIFS('Calendário'!$B$9:$B$214,$C165,'Calendário'!$K$9:$K$214,"Publicado")+COUNTIFS('Calendário'!$B$9:$B$214,$C165,'Calendário'!$M$9:$M$214,"Publicado")+COUNTIFS('Calendário'!$B$9:$B$214,$C165,'Calendário'!$N$9:$N$214,"Publicado")+COUNTIFS('Calendário'!$B$9:$B$214,$C165,'Calendário'!$O$9:$O$214,"Publicado"))&amp;" de "&amp;(5-COUNTIFS('Calendário'!$B$9:$B$214,$C165,'Calendário'!$N$9:$N$214,"Não se aplica")-COUNTIFS('Calendário'!$B$9:$B$214,$C165,'Calendário'!$O$9:$O$214,"Não se aplica"))</x:f>
        <x:v>0 de 3</x:v>
      </x:c>
      <x:c r="M165" s="87" t="str">
        <x:f>(COUNTIFS('Calendário'!$B$9:$B$214,$C165,'Calendário'!$J$9:$J$214,"Publicado")+COUNTIFS('Calendário'!$B$9:$B$214,$C165,'Calendário'!$K$9:$K$214,"Publicado")+COUNTIFS('Calendário'!$B$9:$B$214,$C165,'Calendário'!$M$9:$M$214,"Publicado")+COUNTIFS('Calendário'!$B$9:$B$214,$C165,'Calendário'!$N$9:$N$214,"Publicado")+COUNTIFS('Calendário'!$B$9:$B$214,$C165,'Calendário'!$O$9:$O$214,"Publicado"))&amp;" de "&amp;(5-COUNTIFS('Calendário'!$B$9:$B$214,$C165,'Calendário'!$N$9:$N$214,"Não se aplica")-COUNTIFS('Calendário'!$B$9:$B$214,$C165,'Calendário'!$O$9:$O$214,"Não se aplica"))</x:f>
        <x:v>0 de 3</x:v>
      </x:c>
      <x:c r="N165" s="75"/>
      <x:c r="O165" s="75"/>
      <x:c r="P165" s="61"/>
    </x:row>
    <x:row r="166" ht="57" customHeight="1">
      <x:c r="A166" s="61"/>
      <x:c r="B166" s="69" t="str">
        <x:f>TEXT(D166,"yyyy-mm")</x:f>
        <x:v>2027-06</x:v>
      </x:c>
      <x:c r="C166" s="72" t="str">
        <x:v>P158</x:v>
      </x:c>
      <x:c r="D166" s="90" t="n">
        <x:f>INDEX('Calendário'!$C$9:$C$214,MATCH($C166,'Calendário'!$B$9:$B$214,0))</x:f>
        <x:v>46554.5</x:v>
      </x:c>
      <x:c r="E166" s="69" t="str">
        <x:f>INDEX('Calendário'!$F$9:$F$214,MATCH($C166,'Calendário'!$B$9:$B$214,0))</x:f>
        <x:v>Reel</x:v>
      </x:c>
      <x:c r="F166" s="69" t="str">
        <x:f>INDEX('Calendário'!$G$9:$G$214,MATCH($C166,'Calendário'!$B$9:$B$214,0))</x:f>
        <x:v>Exemplo prático: avaliação de
ferramentas.</x:v>
      </x:c>
      <x:c r="G166" s="78" t="str">
        <x:f>IF(INDEX('Calendário'!$P$9:$P$214,MATCH($C166,'Calendário'!$B$9:$B$214,0))="","",INDEX('Calendário'!$P$9:$P$214,MATCH($C166,'Calendário'!$B$9:$B$214,0)))</x:f>
      </x:c>
      <x:c r="H166" s="75" t="str">
        <x:v>Não iniciada</x:v>
      </x:c>
      <x:c r="I166" s="75" t="str">
        <x:v>Não iniciado</x:v>
      </x:c>
      <x:c r="J166" s="75" t="str">
        <x:v>Pendente</x:v>
      </x:c>
      <x:c r="K166" s="75" t="str">
        <x:v>Pendente</x:v>
      </x:c>
      <x:c r="L166" s="87" t="str">
        <x:f>(COUNTIFS('Calendário'!$B$9:$B$214,$C166,'Calendário'!$J$9:$J$214,"Agendado")+COUNTIFS('Calendário'!$B$9:$B$214,$C166,'Calendário'!$K$9:$K$214,"Agendado")+COUNTIFS('Calendário'!$B$9:$B$214,$C166,'Calendário'!$M$9:$M$214,"Agendado")+COUNTIFS('Calendário'!$B$9:$B$214,$C166,'Calendário'!$N$9:$N$214,"Agendado")+COUNTIFS('Calendário'!$B$9:$B$214,$C166,'Calendário'!$O$9:$O$214,"Agendado")+COUNTIFS('Calendário'!$B$9:$B$214,$C166,'Calendário'!$J$9:$J$214,"Publicado")+COUNTIFS('Calendário'!$B$9:$B$214,$C166,'Calendário'!$K$9:$K$214,"Publicado")+COUNTIFS('Calendário'!$B$9:$B$214,$C166,'Calendário'!$M$9:$M$214,"Publicado")+COUNTIFS('Calendário'!$B$9:$B$214,$C166,'Calendário'!$N$9:$N$214,"Publicado")+COUNTIFS('Calendário'!$B$9:$B$214,$C166,'Calendário'!$O$9:$O$214,"Publicado"))&amp;" de "&amp;(5-COUNTIFS('Calendário'!$B$9:$B$214,$C166,'Calendário'!$N$9:$N$214,"Não se aplica")-COUNTIFS('Calendário'!$B$9:$B$214,$C166,'Calendário'!$O$9:$O$214,"Não se aplica"))</x:f>
        <x:v>0 de 5</x:v>
      </x:c>
      <x:c r="M166" s="87" t="str">
        <x:f>(COUNTIFS('Calendário'!$B$9:$B$214,$C166,'Calendário'!$J$9:$J$214,"Publicado")+COUNTIFS('Calendário'!$B$9:$B$214,$C166,'Calendário'!$K$9:$K$214,"Publicado")+COUNTIFS('Calendário'!$B$9:$B$214,$C166,'Calendário'!$M$9:$M$214,"Publicado")+COUNTIFS('Calendário'!$B$9:$B$214,$C166,'Calendário'!$N$9:$N$214,"Publicado")+COUNTIFS('Calendário'!$B$9:$B$214,$C166,'Calendário'!$O$9:$O$214,"Publicado"))&amp;" de "&amp;(5-COUNTIFS('Calendário'!$B$9:$B$214,$C166,'Calendário'!$N$9:$N$214,"Não se aplica")-COUNTIFS('Calendário'!$B$9:$B$214,$C166,'Calendário'!$O$9:$O$214,"Não se aplica"))</x:f>
        <x:v>0 de 5</x:v>
      </x:c>
      <x:c r="N166" s="75"/>
      <x:c r="O166" s="75"/>
      <x:c r="P166" s="61"/>
    </x:row>
    <x:row r="167" ht="57" customHeight="1">
      <x:c r="A167" s="61"/>
      <x:c r="B167" s="69" t="str">
        <x:f>TEXT(D167,"yyyy-mm")</x:f>
        <x:v>2027-06</x:v>
      </x:c>
      <x:c r="C167" s="72" t="str">
        <x:v>P159</x:v>
      </x:c>
      <x:c r="D167" s="90" t="n">
        <x:f>INDEX('Calendário'!$C$9:$C$214,MATCH($C167,'Calendário'!$B$9:$B$214,0))</x:f>
        <x:v>46556.5</x:v>
      </x:c>
      <x:c r="E167" s="69" t="str">
        <x:f>INDEX('Calendário'!$F$9:$F$214,MATCH($C167,'Calendário'!$B$9:$B$214,0))</x:f>
        <x:v>Carrossel</x:v>
      </x:c>
      <x:c r="F167" s="69" t="str">
        <x:f>INDEX('Calendário'!$G$9:$G$214,MATCH($C167,'Calendário'!$B$9:$B$214,0))</x:f>
        <x:v>Checklist: avaliação de ferramentas.</x:v>
      </x:c>
      <x:c r="G167" s="78" t="str">
        <x:f>IF(INDEX('Calendário'!$P$9:$P$214,MATCH($C167,'Calendário'!$B$9:$B$214,0))="","",INDEX('Calendário'!$P$9:$P$214,MATCH($C167,'Calendário'!$B$9:$B$214,0)))</x:f>
      </x:c>
      <x:c r="H167" s="75" t="str">
        <x:v>Não iniciada</x:v>
      </x:c>
      <x:c r="I167" s="75" t="str">
        <x:v>Não se aplica</x:v>
      </x:c>
      <x:c r="J167" s="75" t="str">
        <x:v>Pendente</x:v>
      </x:c>
      <x:c r="K167" s="75" t="str">
        <x:v>Pendente</x:v>
      </x:c>
      <x:c r="L167" s="87" t="str">
        <x:f>(COUNTIFS('Calendário'!$B$9:$B$214,$C167,'Calendário'!$J$9:$J$214,"Agendado")+COUNTIFS('Calendário'!$B$9:$B$214,$C167,'Calendário'!$K$9:$K$214,"Agendado")+COUNTIFS('Calendário'!$B$9:$B$214,$C167,'Calendário'!$M$9:$M$214,"Agendado")+COUNTIFS('Calendário'!$B$9:$B$214,$C167,'Calendário'!$N$9:$N$214,"Agendado")+COUNTIFS('Calendário'!$B$9:$B$214,$C167,'Calendário'!$O$9:$O$214,"Agendado")+COUNTIFS('Calendário'!$B$9:$B$214,$C167,'Calendário'!$J$9:$J$214,"Publicado")+COUNTIFS('Calendário'!$B$9:$B$214,$C167,'Calendário'!$K$9:$K$214,"Publicado")+COUNTIFS('Calendário'!$B$9:$B$214,$C167,'Calendário'!$M$9:$M$214,"Publicado")+COUNTIFS('Calendário'!$B$9:$B$214,$C167,'Calendário'!$N$9:$N$214,"Publicado")+COUNTIFS('Calendário'!$B$9:$B$214,$C167,'Calendário'!$O$9:$O$214,"Publicado"))&amp;" de "&amp;(5-COUNTIFS('Calendário'!$B$9:$B$214,$C167,'Calendário'!$N$9:$N$214,"Não se aplica")-COUNTIFS('Calendário'!$B$9:$B$214,$C167,'Calendário'!$O$9:$O$214,"Não se aplica"))</x:f>
        <x:v>0 de 3</x:v>
      </x:c>
      <x:c r="M167" s="87" t="str">
        <x:f>(COUNTIFS('Calendário'!$B$9:$B$214,$C167,'Calendário'!$J$9:$J$214,"Publicado")+COUNTIFS('Calendário'!$B$9:$B$214,$C167,'Calendário'!$K$9:$K$214,"Publicado")+COUNTIFS('Calendário'!$B$9:$B$214,$C167,'Calendário'!$M$9:$M$214,"Publicado")+COUNTIFS('Calendário'!$B$9:$B$214,$C167,'Calendário'!$N$9:$N$214,"Publicado")+COUNTIFS('Calendário'!$B$9:$B$214,$C167,'Calendário'!$O$9:$O$214,"Publicado"))&amp;" de "&amp;(5-COUNTIFS('Calendário'!$B$9:$B$214,$C167,'Calendário'!$N$9:$N$214,"Não se aplica")-COUNTIFS('Calendário'!$B$9:$B$214,$C167,'Calendário'!$O$9:$O$214,"Não se aplica"))</x:f>
        <x:v>0 de 3</x:v>
      </x:c>
      <x:c r="N167" s="75"/>
      <x:c r="O167" s="75"/>
      <x:c r="P167" s="61"/>
    </x:row>
    <x:row r="168" ht="57" customHeight="1">
      <x:c r="A168" s="61"/>
      <x:c r="B168" s="69" t="str">
        <x:f>TEXT(D168,"yyyy-mm")</x:f>
        <x:v>2027-06</x:v>
      </x:c>
      <x:c r="C168" s="72" t="str">
        <x:v>P160</x:v>
      </x:c>
      <x:c r="D168" s="90" t="n">
        <x:f>INDEX('Calendário'!$C$9:$C$214,MATCH($C168,'Calendário'!$B$9:$B$214,0))</x:f>
        <x:v>46557.5</x:v>
      </x:c>
      <x:c r="E168" s="69" t="str">
        <x:f>INDEX('Calendário'!$F$9:$F$214,MATCH($C168,'Calendário'!$B$9:$B$214,0))</x:f>
        <x:v>Estático</x:v>
      </x:c>
      <x:c r="F168" s="69" t="str">
        <x:f>INDEX('Calendário'!$G$9:$G$214,MATCH($C168,'Calendário'!$B$9:$B$214,0))</x:f>
        <x:v>Converse com a Arxis sobre avaliação de
ferramentas.</x:v>
      </x:c>
      <x:c r="G168" s="78" t="str">
        <x:f>IF(INDEX('Calendário'!$P$9:$P$214,MATCH($C168,'Calendário'!$B$9:$B$214,0))="","",INDEX('Calendário'!$P$9:$P$214,MATCH($C168,'Calendário'!$B$9:$B$214,0)))</x:f>
      </x:c>
      <x:c r="H168" s="75" t="str">
        <x:v>Não iniciada</x:v>
      </x:c>
      <x:c r="I168" s="75" t="str">
        <x:v>Não se aplica</x:v>
      </x:c>
      <x:c r="J168" s="75" t="str">
        <x:v>Pendente</x:v>
      </x:c>
      <x:c r="K168" s="75" t="str">
        <x:v>Pendente</x:v>
      </x:c>
      <x:c r="L168" s="87" t="str">
        <x:f>(COUNTIFS('Calendário'!$B$9:$B$214,$C168,'Calendário'!$J$9:$J$214,"Agendado")+COUNTIFS('Calendário'!$B$9:$B$214,$C168,'Calendário'!$K$9:$K$214,"Agendado")+COUNTIFS('Calendário'!$B$9:$B$214,$C168,'Calendário'!$M$9:$M$214,"Agendado")+COUNTIFS('Calendário'!$B$9:$B$214,$C168,'Calendário'!$N$9:$N$214,"Agendado")+COUNTIFS('Calendário'!$B$9:$B$214,$C168,'Calendário'!$O$9:$O$214,"Agendado")+COUNTIFS('Calendário'!$B$9:$B$214,$C168,'Calendário'!$J$9:$J$214,"Publicado")+COUNTIFS('Calendário'!$B$9:$B$214,$C168,'Calendário'!$K$9:$K$214,"Publicado")+COUNTIFS('Calendário'!$B$9:$B$214,$C168,'Calendário'!$M$9:$M$214,"Publicado")+COUNTIFS('Calendário'!$B$9:$B$214,$C168,'Calendário'!$N$9:$N$214,"Publicado")+COUNTIFS('Calendário'!$B$9:$B$214,$C168,'Calendário'!$O$9:$O$214,"Publicado"))&amp;" de "&amp;(5-COUNTIFS('Calendário'!$B$9:$B$214,$C168,'Calendário'!$N$9:$N$214,"Não se aplica")-COUNTIFS('Calendário'!$B$9:$B$214,$C168,'Calendário'!$O$9:$O$214,"Não se aplica"))</x:f>
        <x:v>0 de 3</x:v>
      </x:c>
      <x:c r="M168" s="87" t="str">
        <x:f>(COUNTIFS('Calendário'!$B$9:$B$214,$C168,'Calendário'!$J$9:$J$214,"Publicado")+COUNTIFS('Calendário'!$B$9:$B$214,$C168,'Calendário'!$K$9:$K$214,"Publicado")+COUNTIFS('Calendário'!$B$9:$B$214,$C168,'Calendário'!$M$9:$M$214,"Publicado")+COUNTIFS('Calendário'!$B$9:$B$214,$C168,'Calendário'!$N$9:$N$214,"Publicado")+COUNTIFS('Calendário'!$B$9:$B$214,$C168,'Calendário'!$O$9:$O$214,"Publicado"))&amp;" de "&amp;(5-COUNTIFS('Calendário'!$B$9:$B$214,$C168,'Calendário'!$N$9:$N$214,"Não se aplica")-COUNTIFS('Calendário'!$B$9:$B$214,$C168,'Calendário'!$O$9:$O$214,"Não se aplica"))</x:f>
        <x:v>0 de 3</x:v>
      </x:c>
      <x:c r="N168" s="75"/>
      <x:c r="O168" s="75"/>
      <x:c r="P168" s="61"/>
    </x:row>
    <x:row r="169" ht="57" customHeight="1">
      <x:c r="A169" s="61"/>
      <x:c r="B169" s="69" t="str">
        <x:f>TEXT(D169,"yyyy-mm")</x:f>
        <x:v>2027-06</x:v>
      </x:c>
      <x:c r="C169" s="72" t="str">
        <x:v>P161</x:v>
      </x:c>
      <x:c r="D169" s="90" t="n">
        <x:f>INDEX('Calendário'!$C$9:$C$214,MATCH($C169,'Calendário'!$B$9:$B$214,0))</x:f>
        <x:v>46559.5</x:v>
      </x:c>
      <x:c r="E169" s="69" t="str">
        <x:f>INDEX('Calendário'!$F$9:$F$214,MATCH($C169,'Calendário'!$B$9:$B$214,0))</x:f>
        <x:v>Carrossel</x:v>
      </x:c>
      <x:c r="F169" s="69" t="str">
        <x:f>INDEX('Calendário'!$G$9:$G$214,MATCH($C169,'Calendário'!$B$9:$B$214,0))</x:f>
        <x:v>A entrega pode ser entendida por quem vai
recebê-la?</x:v>
      </x:c>
      <x:c r="G169" s="78" t="str">
        <x:f>IF(INDEX('Calendário'!$P$9:$P$214,MATCH($C169,'Calendário'!$B$9:$B$214,0))="","",INDEX('Calendário'!$P$9:$P$214,MATCH($C169,'Calendário'!$B$9:$B$214,0)))</x:f>
      </x:c>
      <x:c r="H169" s="75" t="str">
        <x:v>Não iniciada</x:v>
      </x:c>
      <x:c r="I169" s="75" t="str">
        <x:v>Não se aplica</x:v>
      </x:c>
      <x:c r="J169" s="75" t="str">
        <x:v>Pendente</x:v>
      </x:c>
      <x:c r="K169" s="75" t="str">
        <x:v>Pendente</x:v>
      </x:c>
      <x:c r="L169" s="87" t="str">
        <x:f>(COUNTIFS('Calendário'!$B$9:$B$214,$C169,'Calendário'!$J$9:$J$214,"Agendado")+COUNTIFS('Calendário'!$B$9:$B$214,$C169,'Calendário'!$K$9:$K$214,"Agendado")+COUNTIFS('Calendário'!$B$9:$B$214,$C169,'Calendário'!$M$9:$M$214,"Agendado")+COUNTIFS('Calendário'!$B$9:$B$214,$C169,'Calendário'!$N$9:$N$214,"Agendado")+COUNTIFS('Calendário'!$B$9:$B$214,$C169,'Calendário'!$O$9:$O$214,"Agendado")+COUNTIFS('Calendário'!$B$9:$B$214,$C169,'Calendário'!$J$9:$J$214,"Publicado")+COUNTIFS('Calendário'!$B$9:$B$214,$C169,'Calendário'!$K$9:$K$214,"Publicado")+COUNTIFS('Calendário'!$B$9:$B$214,$C169,'Calendário'!$M$9:$M$214,"Publicado")+COUNTIFS('Calendário'!$B$9:$B$214,$C169,'Calendário'!$N$9:$N$214,"Publicado")+COUNTIFS('Calendário'!$B$9:$B$214,$C169,'Calendário'!$O$9:$O$214,"Publicado"))&amp;" de "&amp;(5-COUNTIFS('Calendário'!$B$9:$B$214,$C169,'Calendário'!$N$9:$N$214,"Não se aplica")-COUNTIFS('Calendário'!$B$9:$B$214,$C169,'Calendário'!$O$9:$O$214,"Não se aplica"))</x:f>
        <x:v>0 de 3</x:v>
      </x:c>
      <x:c r="M169" s="87" t="str">
        <x:f>(COUNTIFS('Calendário'!$B$9:$B$214,$C169,'Calendário'!$J$9:$J$214,"Publicado")+COUNTIFS('Calendário'!$B$9:$B$214,$C169,'Calendário'!$K$9:$K$214,"Publicado")+COUNTIFS('Calendário'!$B$9:$B$214,$C169,'Calendário'!$M$9:$M$214,"Publicado")+COUNTIFS('Calendário'!$B$9:$B$214,$C169,'Calendário'!$N$9:$N$214,"Publicado")+COUNTIFS('Calendário'!$B$9:$B$214,$C169,'Calendário'!$O$9:$O$214,"Publicado"))&amp;" de "&amp;(5-COUNTIFS('Calendário'!$B$9:$B$214,$C169,'Calendário'!$N$9:$N$214,"Não se aplica")-COUNTIFS('Calendário'!$B$9:$B$214,$C169,'Calendário'!$O$9:$O$214,"Não se aplica"))</x:f>
        <x:v>0 de 3</x:v>
      </x:c>
      <x:c r="N169" s="75"/>
      <x:c r="O169" s="75"/>
      <x:c r="P169" s="61"/>
    </x:row>
    <x:row r="170" ht="57" customHeight="1">
      <x:c r="A170" s="61"/>
      <x:c r="B170" s="69" t="str">
        <x:f>TEXT(D170,"yyyy-mm")</x:f>
        <x:v>2027-06</x:v>
      </x:c>
      <x:c r="C170" s="72" t="str">
        <x:v>P162</x:v>
      </x:c>
      <x:c r="D170" s="90" t="n">
        <x:f>INDEX('Calendário'!$C$9:$C$214,MATCH($C170,'Calendário'!$B$9:$B$214,0))</x:f>
        <x:v>46561.5</x:v>
      </x:c>
      <x:c r="E170" s="69" t="str">
        <x:f>INDEX('Calendário'!$F$9:$F$214,MATCH($C170,'Calendário'!$B$9:$B$214,0))</x:f>
        <x:v>Reel</x:v>
      </x:c>
      <x:c r="F170" s="69" t="str">
        <x:f>INDEX('Calendário'!$G$9:$G$214,MATCH($C170,'Calendário'!$B$9:$B$214,0))</x:f>
        <x:v>Exemplo prático: preparação da entrega
final.</x:v>
      </x:c>
      <x:c r="G170" s="78" t="str">
        <x:f>IF(INDEX('Calendário'!$P$9:$P$214,MATCH($C170,'Calendário'!$B$9:$B$214,0))="","",INDEX('Calendário'!$P$9:$P$214,MATCH($C170,'Calendário'!$B$9:$B$214,0)))</x:f>
      </x:c>
      <x:c r="H170" s="75" t="str">
        <x:v>Não iniciada</x:v>
      </x:c>
      <x:c r="I170" s="75" t="str">
        <x:v>Não iniciado</x:v>
      </x:c>
      <x:c r="J170" s="75" t="str">
        <x:v>Pendente</x:v>
      </x:c>
      <x:c r="K170" s="75" t="str">
        <x:v>Pendente</x:v>
      </x:c>
      <x:c r="L170" s="87" t="str">
        <x:f>(COUNTIFS('Calendário'!$B$9:$B$214,$C170,'Calendário'!$J$9:$J$214,"Agendado")+COUNTIFS('Calendário'!$B$9:$B$214,$C170,'Calendário'!$K$9:$K$214,"Agendado")+COUNTIFS('Calendário'!$B$9:$B$214,$C170,'Calendário'!$M$9:$M$214,"Agendado")+COUNTIFS('Calendário'!$B$9:$B$214,$C170,'Calendário'!$N$9:$N$214,"Agendado")+COUNTIFS('Calendário'!$B$9:$B$214,$C170,'Calendário'!$O$9:$O$214,"Agendado")+COUNTIFS('Calendário'!$B$9:$B$214,$C170,'Calendário'!$J$9:$J$214,"Publicado")+COUNTIFS('Calendário'!$B$9:$B$214,$C170,'Calendário'!$K$9:$K$214,"Publicado")+COUNTIFS('Calendário'!$B$9:$B$214,$C170,'Calendário'!$M$9:$M$214,"Publicado")+COUNTIFS('Calendário'!$B$9:$B$214,$C170,'Calendário'!$N$9:$N$214,"Publicado")+COUNTIFS('Calendário'!$B$9:$B$214,$C170,'Calendário'!$O$9:$O$214,"Publicado"))&amp;" de "&amp;(5-COUNTIFS('Calendário'!$B$9:$B$214,$C170,'Calendário'!$N$9:$N$214,"Não se aplica")-COUNTIFS('Calendário'!$B$9:$B$214,$C170,'Calendário'!$O$9:$O$214,"Não se aplica"))</x:f>
        <x:v>0 de 5</x:v>
      </x:c>
      <x:c r="M170" s="87" t="str">
        <x:f>(COUNTIFS('Calendário'!$B$9:$B$214,$C170,'Calendário'!$J$9:$J$214,"Publicado")+COUNTIFS('Calendário'!$B$9:$B$214,$C170,'Calendário'!$K$9:$K$214,"Publicado")+COUNTIFS('Calendário'!$B$9:$B$214,$C170,'Calendário'!$M$9:$M$214,"Publicado")+COUNTIFS('Calendário'!$B$9:$B$214,$C170,'Calendário'!$N$9:$N$214,"Publicado")+COUNTIFS('Calendário'!$B$9:$B$214,$C170,'Calendário'!$O$9:$O$214,"Publicado"))&amp;" de "&amp;(5-COUNTIFS('Calendário'!$B$9:$B$214,$C170,'Calendário'!$N$9:$N$214,"Não se aplica")-COUNTIFS('Calendário'!$B$9:$B$214,$C170,'Calendário'!$O$9:$O$214,"Não se aplica"))</x:f>
        <x:v>0 de 5</x:v>
      </x:c>
      <x:c r="N170" s="75"/>
      <x:c r="O170" s="75"/>
      <x:c r="P170" s="61"/>
    </x:row>
    <x:row r="171" ht="57" customHeight="1">
      <x:c r="A171" s="61"/>
      <x:c r="B171" s="69" t="str">
        <x:f>TEXT(D171,"yyyy-mm")</x:f>
        <x:v>2027-06</x:v>
      </x:c>
      <x:c r="C171" s="72" t="str">
        <x:v>P163</x:v>
      </x:c>
      <x:c r="D171" s="90" t="n">
        <x:f>INDEX('Calendário'!$C$9:$C$214,MATCH($C171,'Calendário'!$B$9:$B$214,0))</x:f>
        <x:v>46563.5</x:v>
      </x:c>
      <x:c r="E171" s="69" t="str">
        <x:f>INDEX('Calendário'!$F$9:$F$214,MATCH($C171,'Calendário'!$B$9:$B$214,0))</x:f>
        <x:v>Carrossel</x:v>
      </x:c>
      <x:c r="F171" s="69" t="str">
        <x:f>INDEX('Calendário'!$G$9:$G$214,MATCH($C171,'Calendário'!$B$9:$B$214,0))</x:f>
        <x:v>Checklist: preparação da entrega final.</x:v>
      </x:c>
      <x:c r="G171" s="78" t="str">
        <x:f>IF(INDEX('Calendário'!$P$9:$P$214,MATCH($C171,'Calendário'!$B$9:$B$214,0))="","",INDEX('Calendário'!$P$9:$P$214,MATCH($C171,'Calendário'!$B$9:$B$214,0)))</x:f>
      </x:c>
      <x:c r="H171" s="75" t="str">
        <x:v>Não iniciada</x:v>
      </x:c>
      <x:c r="I171" s="75" t="str">
        <x:v>Não se aplica</x:v>
      </x:c>
      <x:c r="J171" s="75" t="str">
        <x:v>Pendente</x:v>
      </x:c>
      <x:c r="K171" s="75" t="str">
        <x:v>Pendente</x:v>
      </x:c>
      <x:c r="L171" s="87" t="str">
        <x:f>(COUNTIFS('Calendário'!$B$9:$B$214,$C171,'Calendário'!$J$9:$J$214,"Agendado")+COUNTIFS('Calendário'!$B$9:$B$214,$C171,'Calendário'!$K$9:$K$214,"Agendado")+COUNTIFS('Calendário'!$B$9:$B$214,$C171,'Calendário'!$M$9:$M$214,"Agendado")+COUNTIFS('Calendário'!$B$9:$B$214,$C171,'Calendário'!$N$9:$N$214,"Agendado")+COUNTIFS('Calendário'!$B$9:$B$214,$C171,'Calendário'!$O$9:$O$214,"Agendado")+COUNTIFS('Calendário'!$B$9:$B$214,$C171,'Calendário'!$J$9:$J$214,"Publicado")+COUNTIFS('Calendário'!$B$9:$B$214,$C171,'Calendário'!$K$9:$K$214,"Publicado")+COUNTIFS('Calendário'!$B$9:$B$214,$C171,'Calendário'!$M$9:$M$214,"Publicado")+COUNTIFS('Calendário'!$B$9:$B$214,$C171,'Calendário'!$N$9:$N$214,"Publicado")+COUNTIFS('Calendário'!$B$9:$B$214,$C171,'Calendário'!$O$9:$O$214,"Publicado"))&amp;" de "&amp;(5-COUNTIFS('Calendário'!$B$9:$B$214,$C171,'Calendário'!$N$9:$N$214,"Não se aplica")-COUNTIFS('Calendário'!$B$9:$B$214,$C171,'Calendário'!$O$9:$O$214,"Não se aplica"))</x:f>
        <x:v>0 de 3</x:v>
      </x:c>
      <x:c r="M171" s="87" t="str">
        <x:f>(COUNTIFS('Calendário'!$B$9:$B$214,$C171,'Calendário'!$J$9:$J$214,"Publicado")+COUNTIFS('Calendário'!$B$9:$B$214,$C171,'Calendário'!$K$9:$K$214,"Publicado")+COUNTIFS('Calendário'!$B$9:$B$214,$C171,'Calendário'!$M$9:$M$214,"Publicado")+COUNTIFS('Calendário'!$B$9:$B$214,$C171,'Calendário'!$N$9:$N$214,"Publicado")+COUNTIFS('Calendário'!$B$9:$B$214,$C171,'Calendário'!$O$9:$O$214,"Publicado"))&amp;" de "&amp;(5-COUNTIFS('Calendário'!$B$9:$B$214,$C171,'Calendário'!$N$9:$N$214,"Não se aplica")-COUNTIFS('Calendário'!$B$9:$B$214,$C171,'Calendário'!$O$9:$O$214,"Não se aplica"))</x:f>
        <x:v>0 de 3</x:v>
      </x:c>
      <x:c r="N171" s="75"/>
      <x:c r="O171" s="75"/>
      <x:c r="P171" s="61"/>
    </x:row>
    <x:row r="172" ht="57" customHeight="1">
      <x:c r="A172" s="61"/>
      <x:c r="B172" s="69" t="str">
        <x:f>TEXT(D172,"yyyy-mm")</x:f>
        <x:v>2027-06</x:v>
      </x:c>
      <x:c r="C172" s="72" t="str">
        <x:v>P164</x:v>
      </x:c>
      <x:c r="D172" s="90" t="n">
        <x:f>INDEX('Calendário'!$C$9:$C$214,MATCH($C172,'Calendário'!$B$9:$B$214,0))</x:f>
        <x:v>46564.5</x:v>
      </x:c>
      <x:c r="E172" s="69" t="str">
        <x:f>INDEX('Calendário'!$F$9:$F$214,MATCH($C172,'Calendário'!$B$9:$B$214,0))</x:f>
        <x:v>Estático</x:v>
      </x:c>
      <x:c r="F172" s="69" t="str">
        <x:f>INDEX('Calendário'!$G$9:$G$214,MATCH($C172,'Calendário'!$B$9:$B$214,0))</x:f>
        <x:v>Quem participa da conferência da entrega
final?</x:v>
      </x:c>
      <x:c r="G172" s="78" t="str">
        <x:f>IF(INDEX('Calendário'!$P$9:$P$214,MATCH($C172,'Calendário'!$B$9:$B$214,0))="","",INDEX('Calendário'!$P$9:$P$214,MATCH($C172,'Calendário'!$B$9:$B$214,0)))</x:f>
      </x:c>
      <x:c r="H172" s="75" t="str">
        <x:v>Não iniciada</x:v>
      </x:c>
      <x:c r="I172" s="75" t="str">
        <x:v>Não se aplica</x:v>
      </x:c>
      <x:c r="J172" s="75" t="str">
        <x:v>Pendente</x:v>
      </x:c>
      <x:c r="K172" s="75" t="str">
        <x:v>Pendente</x:v>
      </x:c>
      <x:c r="L172" s="87" t="str">
        <x:f>(COUNTIFS('Calendário'!$B$9:$B$214,$C172,'Calendário'!$J$9:$J$214,"Agendado")+COUNTIFS('Calendário'!$B$9:$B$214,$C172,'Calendário'!$K$9:$K$214,"Agendado")+COUNTIFS('Calendário'!$B$9:$B$214,$C172,'Calendário'!$M$9:$M$214,"Agendado")+COUNTIFS('Calendário'!$B$9:$B$214,$C172,'Calendário'!$N$9:$N$214,"Agendado")+COUNTIFS('Calendário'!$B$9:$B$214,$C172,'Calendário'!$O$9:$O$214,"Agendado")+COUNTIFS('Calendário'!$B$9:$B$214,$C172,'Calendário'!$J$9:$J$214,"Publicado")+COUNTIFS('Calendário'!$B$9:$B$214,$C172,'Calendário'!$K$9:$K$214,"Publicado")+COUNTIFS('Calendário'!$B$9:$B$214,$C172,'Calendário'!$M$9:$M$214,"Publicado")+COUNTIFS('Calendário'!$B$9:$B$214,$C172,'Calendário'!$N$9:$N$214,"Publicado")+COUNTIFS('Calendário'!$B$9:$B$214,$C172,'Calendário'!$O$9:$O$214,"Publicado"))&amp;" de "&amp;(5-COUNTIFS('Calendário'!$B$9:$B$214,$C172,'Calendário'!$N$9:$N$214,"Não se aplica")-COUNTIFS('Calendário'!$B$9:$B$214,$C172,'Calendário'!$O$9:$O$214,"Não se aplica"))</x:f>
        <x:v>0 de 3</x:v>
      </x:c>
      <x:c r="M172" s="87" t="str">
        <x:f>(COUNTIFS('Calendário'!$B$9:$B$214,$C172,'Calendário'!$J$9:$J$214,"Publicado")+COUNTIFS('Calendário'!$B$9:$B$214,$C172,'Calendário'!$K$9:$K$214,"Publicado")+COUNTIFS('Calendário'!$B$9:$B$214,$C172,'Calendário'!$M$9:$M$214,"Publicado")+COUNTIFS('Calendário'!$B$9:$B$214,$C172,'Calendário'!$N$9:$N$214,"Publicado")+COUNTIFS('Calendário'!$B$9:$B$214,$C172,'Calendário'!$O$9:$O$214,"Publicado"))&amp;" de "&amp;(5-COUNTIFS('Calendário'!$B$9:$B$214,$C172,'Calendário'!$N$9:$N$214,"Não se aplica")-COUNTIFS('Calendário'!$B$9:$B$214,$C172,'Calendário'!$O$9:$O$214,"Não se aplica"))</x:f>
        <x:v>0 de 3</x:v>
      </x:c>
      <x:c r="N172" s="75"/>
      <x:c r="O172" s="75"/>
      <x:c r="P172" s="61"/>
    </x:row>
    <x:row r="173" ht="57" customHeight="1">
      <x:c r="A173" s="61"/>
      <x:c r="B173" s="69" t="str">
        <x:f>TEXT(D173,"yyyy-mm")</x:f>
        <x:v>2027-06</x:v>
      </x:c>
      <x:c r="C173" s="72" t="str">
        <x:v>P165</x:v>
      </x:c>
      <x:c r="D173" s="90" t="n">
        <x:f>INDEX('Calendário'!$C$9:$C$214,MATCH($C173,'Calendário'!$B$9:$B$214,0))</x:f>
        <x:v>46566.5</x:v>
      </x:c>
      <x:c r="E173" s="69" t="str">
        <x:f>INDEX('Calendário'!$F$9:$F$214,MATCH($C173,'Calendário'!$B$9:$B$214,0))</x:f>
        <x:v>Carrossel</x:v>
      </x:c>
      <x:c r="F173" s="69" t="str">
        <x:f>INDEX('Calendário'!$G$9:$G$214,MATCH($C173,'Calendário'!$B$9:$B$214,0))</x:f>
        <x:v>Como registrar uma diferença observada na
execução?</x:v>
      </x:c>
      <x:c r="G173" s="78" t="str">
        <x:f>IF(INDEX('Calendário'!$P$9:$P$214,MATCH($C173,'Calendário'!$B$9:$B$214,0))="","",INDEX('Calendário'!$P$9:$P$214,MATCH($C173,'Calendário'!$B$9:$B$214,0)))</x:f>
      </x:c>
      <x:c r="H173" s="75" t="str">
        <x:v>Não iniciada</x:v>
      </x:c>
      <x:c r="I173" s="75" t="str">
        <x:v>Não se aplica</x:v>
      </x:c>
      <x:c r="J173" s="75" t="str">
        <x:v>Pendente</x:v>
      </x:c>
      <x:c r="K173" s="75" t="str">
        <x:v>Pendente</x:v>
      </x:c>
      <x:c r="L173" s="87" t="str">
        <x:f>(COUNTIFS('Calendário'!$B$9:$B$214,$C173,'Calendário'!$J$9:$J$214,"Agendado")+COUNTIFS('Calendário'!$B$9:$B$214,$C173,'Calendário'!$K$9:$K$214,"Agendado")+COUNTIFS('Calendário'!$B$9:$B$214,$C173,'Calendário'!$M$9:$M$214,"Agendado")+COUNTIFS('Calendário'!$B$9:$B$214,$C173,'Calendário'!$N$9:$N$214,"Agendado")+COUNTIFS('Calendário'!$B$9:$B$214,$C173,'Calendário'!$O$9:$O$214,"Agendado")+COUNTIFS('Calendário'!$B$9:$B$214,$C173,'Calendário'!$J$9:$J$214,"Publicado")+COUNTIFS('Calendário'!$B$9:$B$214,$C173,'Calendário'!$K$9:$K$214,"Publicado")+COUNTIFS('Calendário'!$B$9:$B$214,$C173,'Calendário'!$M$9:$M$214,"Publicado")+COUNTIFS('Calendário'!$B$9:$B$214,$C173,'Calendário'!$N$9:$N$214,"Publicado")+COUNTIFS('Calendário'!$B$9:$B$214,$C173,'Calendário'!$O$9:$O$214,"Publicado"))&amp;" de "&amp;(5-COUNTIFS('Calendário'!$B$9:$B$214,$C173,'Calendário'!$N$9:$N$214,"Não se aplica")-COUNTIFS('Calendário'!$B$9:$B$214,$C173,'Calendário'!$O$9:$O$214,"Não se aplica"))</x:f>
        <x:v>0 de 3</x:v>
      </x:c>
      <x:c r="M173" s="87" t="str">
        <x:f>(COUNTIFS('Calendário'!$B$9:$B$214,$C173,'Calendário'!$J$9:$J$214,"Publicado")+COUNTIFS('Calendário'!$B$9:$B$214,$C173,'Calendário'!$K$9:$K$214,"Publicado")+COUNTIFS('Calendário'!$B$9:$B$214,$C173,'Calendário'!$M$9:$M$214,"Publicado")+COUNTIFS('Calendário'!$B$9:$B$214,$C173,'Calendário'!$N$9:$N$214,"Publicado")+COUNTIFS('Calendário'!$B$9:$B$214,$C173,'Calendário'!$O$9:$O$214,"Publicado"))&amp;" de "&amp;(5-COUNTIFS('Calendário'!$B$9:$B$214,$C173,'Calendário'!$N$9:$N$214,"Não se aplica")-COUNTIFS('Calendário'!$B$9:$B$214,$C173,'Calendário'!$O$9:$O$214,"Não se aplica"))</x:f>
        <x:v>0 de 3</x:v>
      </x:c>
      <x:c r="N173" s="75"/>
      <x:c r="O173" s="75"/>
      <x:c r="P173" s="61"/>
    </x:row>
    <x:row r="174" ht="57" customHeight="1">
      <x:c r="A174" s="61"/>
      <x:c r="B174" s="69" t="str">
        <x:f>TEXT(D174,"yyyy-mm")</x:f>
        <x:v>2027-06</x:v>
      </x:c>
      <x:c r="C174" s="72" t="str">
        <x:v>P166</x:v>
      </x:c>
      <x:c r="D174" s="90" t="n">
        <x:f>INDEX('Calendário'!$C$9:$C$214,MATCH($C174,'Calendário'!$B$9:$B$214,0))</x:f>
        <x:v>46568.5</x:v>
      </x:c>
      <x:c r="E174" s="69" t="str">
        <x:f>INDEX('Calendário'!$F$9:$F$214,MATCH($C174,'Calendário'!$B$9:$B$214,0))</x:f>
        <x:v>Reel</x:v>
      </x:c>
      <x:c r="F174" s="69" t="str">
        <x:f>INDEX('Calendário'!$G$9:$G$214,MATCH($C174,'Calendário'!$B$9:$B$214,0))</x:f>
        <x:v>Exemplo prático: registro do executado.</x:v>
      </x:c>
      <x:c r="G174" s="78" t="str">
        <x:f>IF(INDEX('Calendário'!$P$9:$P$214,MATCH($C174,'Calendário'!$B$9:$B$214,0))="","",INDEX('Calendário'!$P$9:$P$214,MATCH($C174,'Calendário'!$B$9:$B$214,0)))</x:f>
      </x:c>
      <x:c r="H174" s="75" t="str">
        <x:v>Não iniciada</x:v>
      </x:c>
      <x:c r="I174" s="75" t="str">
        <x:v>Não iniciado</x:v>
      </x:c>
      <x:c r="J174" s="75" t="str">
        <x:v>Pendente</x:v>
      </x:c>
      <x:c r="K174" s="75" t="str">
        <x:v>Pendente</x:v>
      </x:c>
      <x:c r="L174" s="87" t="str">
        <x:f>(COUNTIFS('Calendário'!$B$9:$B$214,$C174,'Calendário'!$J$9:$J$214,"Agendado")+COUNTIFS('Calendário'!$B$9:$B$214,$C174,'Calendário'!$K$9:$K$214,"Agendado")+COUNTIFS('Calendário'!$B$9:$B$214,$C174,'Calendário'!$M$9:$M$214,"Agendado")+COUNTIFS('Calendário'!$B$9:$B$214,$C174,'Calendário'!$N$9:$N$214,"Agendado")+COUNTIFS('Calendário'!$B$9:$B$214,$C174,'Calendário'!$O$9:$O$214,"Agendado")+COUNTIFS('Calendário'!$B$9:$B$214,$C174,'Calendário'!$J$9:$J$214,"Publicado")+COUNTIFS('Calendário'!$B$9:$B$214,$C174,'Calendário'!$K$9:$K$214,"Publicado")+COUNTIFS('Calendário'!$B$9:$B$214,$C174,'Calendário'!$M$9:$M$214,"Publicado")+COUNTIFS('Calendário'!$B$9:$B$214,$C174,'Calendário'!$N$9:$N$214,"Publicado")+COUNTIFS('Calendário'!$B$9:$B$214,$C174,'Calendário'!$O$9:$O$214,"Publicado"))&amp;" de "&amp;(5-COUNTIFS('Calendário'!$B$9:$B$214,$C174,'Calendário'!$N$9:$N$214,"Não se aplica")-COUNTIFS('Calendário'!$B$9:$B$214,$C174,'Calendário'!$O$9:$O$214,"Não se aplica"))</x:f>
        <x:v>0 de 5</x:v>
      </x:c>
      <x:c r="M174" s="87" t="str">
        <x:f>(COUNTIFS('Calendário'!$B$9:$B$214,$C174,'Calendário'!$J$9:$J$214,"Publicado")+COUNTIFS('Calendário'!$B$9:$B$214,$C174,'Calendário'!$K$9:$K$214,"Publicado")+COUNTIFS('Calendário'!$B$9:$B$214,$C174,'Calendário'!$M$9:$M$214,"Publicado")+COUNTIFS('Calendário'!$B$9:$B$214,$C174,'Calendário'!$N$9:$N$214,"Publicado")+COUNTIFS('Calendário'!$B$9:$B$214,$C174,'Calendário'!$O$9:$O$214,"Publicado"))&amp;" de "&amp;(5-COUNTIFS('Calendário'!$B$9:$B$214,$C174,'Calendário'!$N$9:$N$214,"Não se aplica")-COUNTIFS('Calendário'!$B$9:$B$214,$C174,'Calendário'!$O$9:$O$214,"Não se aplica"))</x:f>
        <x:v>0 de 5</x:v>
      </x:c>
      <x:c r="N174" s="75"/>
      <x:c r="O174" s="75"/>
      <x:c r="P174" s="61"/>
    </x:row>
    <x:row r="175" ht="57" customHeight="1">
      <x:c r="A175" s="61"/>
      <x:c r="B175" s="69" t="str">
        <x:f>TEXT(D175,"yyyy-mm")</x:f>
        <x:v>2027-07</x:v>
      </x:c>
      <x:c r="C175" s="72" t="str">
        <x:v>P167</x:v>
      </x:c>
      <x:c r="D175" s="90" t="n">
        <x:f>INDEX('Calendário'!$C$9:$C$214,MATCH($C175,'Calendário'!$B$9:$B$214,0))</x:f>
        <x:v>46570.5</x:v>
      </x:c>
      <x:c r="E175" s="69" t="str">
        <x:f>INDEX('Calendário'!$F$9:$F$214,MATCH($C175,'Calendário'!$B$9:$B$214,0))</x:f>
        <x:v>Carrossel</x:v>
      </x:c>
      <x:c r="F175" s="69" t="str">
        <x:f>INDEX('Calendário'!$G$9:$G$214,MATCH($C175,'Calendário'!$B$9:$B$214,0))</x:f>
        <x:v>Checklist: registro do executado.</x:v>
      </x:c>
      <x:c r="G175" s="78" t="str">
        <x:f>IF(INDEX('Calendário'!$P$9:$P$214,MATCH($C175,'Calendário'!$B$9:$B$214,0))="","",INDEX('Calendário'!$P$9:$P$214,MATCH($C175,'Calendário'!$B$9:$B$214,0)))</x:f>
      </x:c>
      <x:c r="H175" s="75" t="str">
        <x:v>Não iniciada</x:v>
      </x:c>
      <x:c r="I175" s="75" t="str">
        <x:v>Não se aplica</x:v>
      </x:c>
      <x:c r="J175" s="75" t="str">
        <x:v>Pendente</x:v>
      </x:c>
      <x:c r="K175" s="75" t="str">
        <x:v>Pendente</x:v>
      </x:c>
      <x:c r="L175" s="87" t="str">
        <x:f>(COUNTIFS('Calendário'!$B$9:$B$214,$C175,'Calendário'!$J$9:$J$214,"Agendado")+COUNTIFS('Calendário'!$B$9:$B$214,$C175,'Calendário'!$K$9:$K$214,"Agendado")+COUNTIFS('Calendário'!$B$9:$B$214,$C175,'Calendário'!$M$9:$M$214,"Agendado")+COUNTIFS('Calendário'!$B$9:$B$214,$C175,'Calendário'!$N$9:$N$214,"Agendado")+COUNTIFS('Calendário'!$B$9:$B$214,$C175,'Calendário'!$O$9:$O$214,"Agendado")+COUNTIFS('Calendário'!$B$9:$B$214,$C175,'Calendário'!$J$9:$J$214,"Publicado")+COUNTIFS('Calendário'!$B$9:$B$214,$C175,'Calendário'!$K$9:$K$214,"Publicado")+COUNTIFS('Calendário'!$B$9:$B$214,$C175,'Calendário'!$M$9:$M$214,"Publicado")+COUNTIFS('Calendário'!$B$9:$B$214,$C175,'Calendário'!$N$9:$N$214,"Publicado")+COUNTIFS('Calendário'!$B$9:$B$214,$C175,'Calendário'!$O$9:$O$214,"Publicado"))&amp;" de "&amp;(5-COUNTIFS('Calendário'!$B$9:$B$214,$C175,'Calendário'!$N$9:$N$214,"Não se aplica")-COUNTIFS('Calendário'!$B$9:$B$214,$C175,'Calendário'!$O$9:$O$214,"Não se aplica"))</x:f>
        <x:v>0 de 3</x:v>
      </x:c>
      <x:c r="M175" s="87" t="str">
        <x:f>(COUNTIFS('Calendário'!$B$9:$B$214,$C175,'Calendário'!$J$9:$J$214,"Publicado")+COUNTIFS('Calendário'!$B$9:$B$214,$C175,'Calendário'!$K$9:$K$214,"Publicado")+COUNTIFS('Calendário'!$B$9:$B$214,$C175,'Calendário'!$M$9:$M$214,"Publicado")+COUNTIFS('Calendário'!$B$9:$B$214,$C175,'Calendário'!$N$9:$N$214,"Publicado")+COUNTIFS('Calendário'!$B$9:$B$214,$C175,'Calendário'!$O$9:$O$214,"Publicado"))&amp;" de "&amp;(5-COUNTIFS('Calendário'!$B$9:$B$214,$C175,'Calendário'!$N$9:$N$214,"Não se aplica")-COUNTIFS('Calendário'!$B$9:$B$214,$C175,'Calendário'!$O$9:$O$214,"Não se aplica"))</x:f>
        <x:v>0 de 3</x:v>
      </x:c>
      <x:c r="N175" s="75"/>
      <x:c r="O175" s="75"/>
      <x:c r="P175" s="61"/>
    </x:row>
    <x:row r="176" ht="57" customHeight="1">
      <x:c r="A176" s="61"/>
      <x:c r="B176" s="69" t="str">
        <x:f>TEXT(D176,"yyyy-mm")</x:f>
        <x:v>2027-07</x:v>
      </x:c>
      <x:c r="C176" s="72" t="str">
        <x:v>P168</x:v>
      </x:c>
      <x:c r="D176" s="90" t="n">
        <x:f>INDEX('Calendário'!$C$9:$C$214,MATCH($C176,'Calendário'!$B$9:$B$214,0))</x:f>
        <x:v>46571.5</x:v>
      </x:c>
      <x:c r="E176" s="69" t="str">
        <x:f>INDEX('Calendário'!$F$9:$F$214,MATCH($C176,'Calendário'!$B$9:$B$214,0))</x:f>
        <x:v>Estático</x:v>
      </x:c>
      <x:c r="F176" s="69" t="str">
        <x:f>INDEX('Calendário'!$G$9:$G$214,MATCH($C176,'Calendário'!$B$9:$B$214,0))</x:f>
        <x:v>Como sua equipe encaminha diferenças
observadas em campo?</x:v>
      </x:c>
      <x:c r="G176" s="78" t="str">
        <x:f>IF(INDEX('Calendário'!$P$9:$P$214,MATCH($C176,'Calendário'!$B$9:$B$214,0))="","",INDEX('Calendário'!$P$9:$P$214,MATCH($C176,'Calendário'!$B$9:$B$214,0)))</x:f>
      </x:c>
      <x:c r="H176" s="75" t="str">
        <x:v>Não iniciada</x:v>
      </x:c>
      <x:c r="I176" s="75" t="str">
        <x:v>Não se aplica</x:v>
      </x:c>
      <x:c r="J176" s="75" t="str">
        <x:v>Pendente</x:v>
      </x:c>
      <x:c r="K176" s="75" t="str">
        <x:v>Pendente</x:v>
      </x:c>
      <x:c r="L176" s="87" t="str">
        <x:f>(COUNTIFS('Calendário'!$B$9:$B$214,$C176,'Calendário'!$J$9:$J$214,"Agendado")+COUNTIFS('Calendário'!$B$9:$B$214,$C176,'Calendário'!$K$9:$K$214,"Agendado")+COUNTIFS('Calendário'!$B$9:$B$214,$C176,'Calendário'!$M$9:$M$214,"Agendado")+COUNTIFS('Calendário'!$B$9:$B$214,$C176,'Calendário'!$N$9:$N$214,"Agendado")+COUNTIFS('Calendário'!$B$9:$B$214,$C176,'Calendário'!$O$9:$O$214,"Agendado")+COUNTIFS('Calendário'!$B$9:$B$214,$C176,'Calendário'!$J$9:$J$214,"Publicado")+COUNTIFS('Calendário'!$B$9:$B$214,$C176,'Calendário'!$K$9:$K$214,"Publicado")+COUNTIFS('Calendário'!$B$9:$B$214,$C176,'Calendário'!$M$9:$M$214,"Publicado")+COUNTIFS('Calendário'!$B$9:$B$214,$C176,'Calendário'!$N$9:$N$214,"Publicado")+COUNTIFS('Calendário'!$B$9:$B$214,$C176,'Calendário'!$O$9:$O$214,"Publicado"))&amp;" de "&amp;(5-COUNTIFS('Calendário'!$B$9:$B$214,$C176,'Calendário'!$N$9:$N$214,"Não se aplica")-COUNTIFS('Calendário'!$B$9:$B$214,$C176,'Calendário'!$O$9:$O$214,"Não se aplica"))</x:f>
        <x:v>0 de 3</x:v>
      </x:c>
      <x:c r="M176" s="87" t="str">
        <x:f>(COUNTIFS('Calendário'!$B$9:$B$214,$C176,'Calendário'!$J$9:$J$214,"Publicado")+COUNTIFS('Calendário'!$B$9:$B$214,$C176,'Calendário'!$K$9:$K$214,"Publicado")+COUNTIFS('Calendário'!$B$9:$B$214,$C176,'Calendário'!$M$9:$M$214,"Publicado")+COUNTIFS('Calendário'!$B$9:$B$214,$C176,'Calendário'!$N$9:$N$214,"Publicado")+COUNTIFS('Calendário'!$B$9:$B$214,$C176,'Calendário'!$O$9:$O$214,"Publicado"))&amp;" de "&amp;(5-COUNTIFS('Calendário'!$B$9:$B$214,$C176,'Calendário'!$N$9:$N$214,"Não se aplica")-COUNTIFS('Calendário'!$B$9:$B$214,$C176,'Calendário'!$O$9:$O$214,"Não se aplica"))</x:f>
        <x:v>0 de 3</x:v>
      </x:c>
      <x:c r="N176" s="75"/>
      <x:c r="O176" s="75"/>
      <x:c r="P176" s="61"/>
    </x:row>
    <x:row r="177" ht="57" customHeight="1">
      <x:c r="A177" s="61"/>
      <x:c r="B177" s="69" t="str">
        <x:f>TEXT(D177,"yyyy-mm")</x:f>
        <x:v>2027-07</x:v>
      </x:c>
      <x:c r="C177" s="72" t="str">
        <x:v>P169</x:v>
      </x:c>
      <x:c r="D177" s="90" t="n">
        <x:f>INDEX('Calendário'!$C$9:$C$214,MATCH($C177,'Calendário'!$B$9:$B$214,0))</x:f>
        <x:v>46573.5</x:v>
      </x:c>
      <x:c r="E177" s="69" t="str">
        <x:f>INDEX('Calendário'!$F$9:$F$214,MATCH($C177,'Calendário'!$B$9:$B$214,0))</x:f>
        <x:v>Carrossel</x:v>
      </x:c>
      <x:c r="F177" s="69" t="str">
        <x:f>INDEX('Calendário'!$G$9:$G$214,MATCH($C177,'Calendário'!$B$9:$B$214,0))</x:f>
        <x:v>Que dado será útil depois da obra?</x:v>
      </x:c>
      <x:c r="G177" s="78" t="str">
        <x:f>IF(INDEX('Calendário'!$P$9:$P$214,MATCH($C177,'Calendário'!$B$9:$B$214,0))="","",INDEX('Calendário'!$P$9:$P$214,MATCH($C177,'Calendário'!$B$9:$B$214,0)))</x:f>
      </x:c>
      <x:c r="H177" s="75" t="str">
        <x:v>Não iniciada</x:v>
      </x:c>
      <x:c r="I177" s="75" t="str">
        <x:v>Não se aplica</x:v>
      </x:c>
      <x:c r="J177" s="75" t="str">
        <x:v>Pendente</x:v>
      </x:c>
      <x:c r="K177" s="75" t="str">
        <x:v>Pendente</x:v>
      </x:c>
      <x:c r="L177" s="87" t="str">
        <x:f>(COUNTIFS('Calendário'!$B$9:$B$214,$C177,'Calendário'!$J$9:$J$214,"Agendado")+COUNTIFS('Calendário'!$B$9:$B$214,$C177,'Calendário'!$K$9:$K$214,"Agendado")+COUNTIFS('Calendário'!$B$9:$B$214,$C177,'Calendário'!$M$9:$M$214,"Agendado")+COUNTIFS('Calendário'!$B$9:$B$214,$C177,'Calendário'!$N$9:$N$214,"Agendado")+COUNTIFS('Calendário'!$B$9:$B$214,$C177,'Calendário'!$O$9:$O$214,"Agendado")+COUNTIFS('Calendário'!$B$9:$B$214,$C177,'Calendário'!$J$9:$J$214,"Publicado")+COUNTIFS('Calendário'!$B$9:$B$214,$C177,'Calendário'!$K$9:$K$214,"Publicado")+COUNTIFS('Calendário'!$B$9:$B$214,$C177,'Calendário'!$M$9:$M$214,"Publicado")+COUNTIFS('Calendário'!$B$9:$B$214,$C177,'Calendário'!$N$9:$N$214,"Publicado")+COUNTIFS('Calendário'!$B$9:$B$214,$C177,'Calendário'!$O$9:$O$214,"Publicado"))&amp;" de "&amp;(5-COUNTIFS('Calendário'!$B$9:$B$214,$C177,'Calendário'!$N$9:$N$214,"Não se aplica")-COUNTIFS('Calendário'!$B$9:$B$214,$C177,'Calendário'!$O$9:$O$214,"Não se aplica"))</x:f>
        <x:v>0 de 3</x:v>
      </x:c>
      <x:c r="M177" s="87" t="str">
        <x:f>(COUNTIFS('Calendário'!$B$9:$B$214,$C177,'Calendário'!$J$9:$J$214,"Publicado")+COUNTIFS('Calendário'!$B$9:$B$214,$C177,'Calendário'!$K$9:$K$214,"Publicado")+COUNTIFS('Calendário'!$B$9:$B$214,$C177,'Calendário'!$M$9:$M$214,"Publicado")+COUNTIFS('Calendário'!$B$9:$B$214,$C177,'Calendário'!$N$9:$N$214,"Publicado")+COUNTIFS('Calendário'!$B$9:$B$214,$C177,'Calendário'!$O$9:$O$214,"Publicado"))&amp;" de "&amp;(5-COUNTIFS('Calendário'!$B$9:$B$214,$C177,'Calendário'!$N$9:$N$214,"Não se aplica")-COUNTIFS('Calendário'!$B$9:$B$214,$C177,'Calendário'!$O$9:$O$214,"Não se aplica"))</x:f>
        <x:v>0 de 3</x:v>
      </x:c>
      <x:c r="N177" s="75"/>
      <x:c r="O177" s="75"/>
      <x:c r="P177" s="61"/>
    </x:row>
    <x:row r="178" ht="57" customHeight="1">
      <x:c r="A178" s="61"/>
      <x:c r="B178" s="69" t="str">
        <x:f>TEXT(D178,"yyyy-mm")</x:f>
        <x:v>2027-07</x:v>
      </x:c>
      <x:c r="C178" s="72" t="str">
        <x:v>P170</x:v>
      </x:c>
      <x:c r="D178" s="90" t="n">
        <x:f>INDEX('Calendário'!$C$9:$C$214,MATCH($C178,'Calendário'!$B$9:$B$214,0))</x:f>
        <x:v>46575.5</x:v>
      </x:c>
      <x:c r="E178" s="69" t="str">
        <x:f>INDEX('Calendário'!$F$9:$F$214,MATCH($C178,'Calendário'!$B$9:$B$214,0))</x:f>
        <x:v>Reel</x:v>
      </x:c>
      <x:c r="F178" s="69" t="str">
        <x:f>INDEX('Calendário'!$G$9:$G$214,MATCH($C178,'Calendário'!$B$9:$B$214,0))</x:f>
        <x:v>Exemplo prático: informação para
operação.</x:v>
      </x:c>
      <x:c r="G178" s="78" t="str">
        <x:f>IF(INDEX('Calendário'!$P$9:$P$214,MATCH($C178,'Calendário'!$B$9:$B$214,0))="","",INDEX('Calendário'!$P$9:$P$214,MATCH($C178,'Calendário'!$B$9:$B$214,0)))</x:f>
      </x:c>
      <x:c r="H178" s="75" t="str">
        <x:v>Não iniciada</x:v>
      </x:c>
      <x:c r="I178" s="75" t="str">
        <x:v>Não iniciado</x:v>
      </x:c>
      <x:c r="J178" s="75" t="str">
        <x:v>Pendente</x:v>
      </x:c>
      <x:c r="K178" s="75" t="str">
        <x:v>Pendente</x:v>
      </x:c>
      <x:c r="L178" s="87" t="str">
        <x:f>(COUNTIFS('Calendário'!$B$9:$B$214,$C178,'Calendário'!$J$9:$J$214,"Agendado")+COUNTIFS('Calendário'!$B$9:$B$214,$C178,'Calendário'!$K$9:$K$214,"Agendado")+COUNTIFS('Calendário'!$B$9:$B$214,$C178,'Calendário'!$M$9:$M$214,"Agendado")+COUNTIFS('Calendário'!$B$9:$B$214,$C178,'Calendário'!$N$9:$N$214,"Agendado")+COUNTIFS('Calendário'!$B$9:$B$214,$C178,'Calendário'!$O$9:$O$214,"Agendado")+COUNTIFS('Calendário'!$B$9:$B$214,$C178,'Calendário'!$J$9:$J$214,"Publicado")+COUNTIFS('Calendário'!$B$9:$B$214,$C178,'Calendário'!$K$9:$K$214,"Publicado")+COUNTIFS('Calendário'!$B$9:$B$214,$C178,'Calendário'!$M$9:$M$214,"Publicado")+COUNTIFS('Calendário'!$B$9:$B$214,$C178,'Calendário'!$N$9:$N$214,"Publicado")+COUNTIFS('Calendário'!$B$9:$B$214,$C178,'Calendário'!$O$9:$O$214,"Publicado"))&amp;" de "&amp;(5-COUNTIFS('Calendário'!$B$9:$B$214,$C178,'Calendário'!$N$9:$N$214,"Não se aplica")-COUNTIFS('Calendário'!$B$9:$B$214,$C178,'Calendário'!$O$9:$O$214,"Não se aplica"))</x:f>
        <x:v>0 de 5</x:v>
      </x:c>
      <x:c r="M178" s="87" t="str">
        <x:f>(COUNTIFS('Calendário'!$B$9:$B$214,$C178,'Calendário'!$J$9:$J$214,"Publicado")+COUNTIFS('Calendário'!$B$9:$B$214,$C178,'Calendário'!$K$9:$K$214,"Publicado")+COUNTIFS('Calendário'!$B$9:$B$214,$C178,'Calendário'!$M$9:$M$214,"Publicado")+COUNTIFS('Calendário'!$B$9:$B$214,$C178,'Calendário'!$N$9:$N$214,"Publicado")+COUNTIFS('Calendário'!$B$9:$B$214,$C178,'Calendário'!$O$9:$O$214,"Publicado"))&amp;" de "&amp;(5-COUNTIFS('Calendário'!$B$9:$B$214,$C178,'Calendário'!$N$9:$N$214,"Não se aplica")-COUNTIFS('Calendário'!$B$9:$B$214,$C178,'Calendário'!$O$9:$O$214,"Não se aplica"))</x:f>
        <x:v>0 de 5</x:v>
      </x:c>
      <x:c r="N178" s="75"/>
      <x:c r="O178" s="75"/>
      <x:c r="P178" s="61"/>
    </x:row>
    <x:row r="179" ht="57" customHeight="1">
      <x:c r="A179" s="61"/>
      <x:c r="B179" s="69" t="str">
        <x:f>TEXT(D179,"yyyy-mm")</x:f>
        <x:v>2027-07</x:v>
      </x:c>
      <x:c r="C179" s="72" t="str">
        <x:v>P171</x:v>
      </x:c>
      <x:c r="D179" s="90" t="n">
        <x:f>INDEX('Calendário'!$C$9:$C$214,MATCH($C179,'Calendário'!$B$9:$B$214,0))</x:f>
        <x:v>46577.5</x:v>
      </x:c>
      <x:c r="E179" s="69" t="str">
        <x:f>INDEX('Calendário'!$F$9:$F$214,MATCH($C179,'Calendário'!$B$9:$B$214,0))</x:f>
        <x:v>Carrossel</x:v>
      </x:c>
      <x:c r="F179" s="69" t="str">
        <x:f>INDEX('Calendário'!$G$9:$G$214,MATCH($C179,'Calendário'!$B$9:$B$214,0))</x:f>
        <x:v>Checklist: informação para operação.</x:v>
      </x:c>
      <x:c r="G179" s="78" t="str">
        <x:f>IF(INDEX('Calendário'!$P$9:$P$214,MATCH($C179,'Calendário'!$B$9:$B$214,0))="","",INDEX('Calendário'!$P$9:$P$214,MATCH($C179,'Calendário'!$B$9:$B$214,0)))</x:f>
      </x:c>
      <x:c r="H179" s="75" t="str">
        <x:v>Não iniciada</x:v>
      </x:c>
      <x:c r="I179" s="75" t="str">
        <x:v>Não se aplica</x:v>
      </x:c>
      <x:c r="J179" s="75" t="str">
        <x:v>Pendente</x:v>
      </x:c>
      <x:c r="K179" s="75" t="str">
        <x:v>Pendente</x:v>
      </x:c>
      <x:c r="L179" s="87" t="str">
        <x:f>(COUNTIFS('Calendário'!$B$9:$B$214,$C179,'Calendário'!$J$9:$J$214,"Agendado")+COUNTIFS('Calendário'!$B$9:$B$214,$C179,'Calendário'!$K$9:$K$214,"Agendado")+COUNTIFS('Calendário'!$B$9:$B$214,$C179,'Calendário'!$M$9:$M$214,"Agendado")+COUNTIFS('Calendário'!$B$9:$B$214,$C179,'Calendário'!$N$9:$N$214,"Agendado")+COUNTIFS('Calendário'!$B$9:$B$214,$C179,'Calendário'!$O$9:$O$214,"Agendado")+COUNTIFS('Calendário'!$B$9:$B$214,$C179,'Calendário'!$J$9:$J$214,"Publicado")+COUNTIFS('Calendário'!$B$9:$B$214,$C179,'Calendário'!$K$9:$K$214,"Publicado")+COUNTIFS('Calendário'!$B$9:$B$214,$C179,'Calendário'!$M$9:$M$214,"Publicado")+COUNTIFS('Calendário'!$B$9:$B$214,$C179,'Calendário'!$N$9:$N$214,"Publicado")+COUNTIFS('Calendário'!$B$9:$B$214,$C179,'Calendário'!$O$9:$O$214,"Publicado"))&amp;" de "&amp;(5-COUNTIFS('Calendário'!$B$9:$B$214,$C179,'Calendário'!$N$9:$N$214,"Não se aplica")-COUNTIFS('Calendário'!$B$9:$B$214,$C179,'Calendário'!$O$9:$O$214,"Não se aplica"))</x:f>
        <x:v>0 de 3</x:v>
      </x:c>
      <x:c r="M179" s="87" t="str">
        <x:f>(COUNTIFS('Calendário'!$B$9:$B$214,$C179,'Calendário'!$J$9:$J$214,"Publicado")+COUNTIFS('Calendário'!$B$9:$B$214,$C179,'Calendário'!$K$9:$K$214,"Publicado")+COUNTIFS('Calendário'!$B$9:$B$214,$C179,'Calendário'!$M$9:$M$214,"Publicado")+COUNTIFS('Calendário'!$B$9:$B$214,$C179,'Calendário'!$N$9:$N$214,"Publicado")+COUNTIFS('Calendário'!$B$9:$B$214,$C179,'Calendário'!$O$9:$O$214,"Publicado"))&amp;" de "&amp;(5-COUNTIFS('Calendário'!$B$9:$B$214,$C179,'Calendário'!$N$9:$N$214,"Não se aplica")-COUNTIFS('Calendário'!$B$9:$B$214,$C179,'Calendário'!$O$9:$O$214,"Não se aplica"))</x:f>
        <x:v>0 de 3</x:v>
      </x:c>
      <x:c r="N179" s="75"/>
      <x:c r="O179" s="75"/>
      <x:c r="P179" s="61"/>
    </x:row>
    <x:row r="180" ht="57" customHeight="1">
      <x:c r="A180" s="61"/>
      <x:c r="B180" s="69" t="str">
        <x:f>TEXT(D180,"yyyy-mm")</x:f>
        <x:v>2027-07</x:v>
      </x:c>
      <x:c r="C180" s="72" t="str">
        <x:v>P172</x:v>
      </x:c>
      <x:c r="D180" s="90" t="n">
        <x:f>INDEX('Calendário'!$C$9:$C$214,MATCH($C180,'Calendário'!$B$9:$B$214,0))</x:f>
        <x:v>46578.5</x:v>
      </x:c>
      <x:c r="E180" s="69" t="str">
        <x:f>INDEX('Calendário'!$F$9:$F$214,MATCH($C180,'Calendário'!$B$9:$B$214,0))</x:f>
        <x:v>Estático</x:v>
      </x:c>
      <x:c r="F180" s="69" t="str">
        <x:f>INDEX('Calendário'!$G$9:$G$214,MATCH($C180,'Calendário'!$B$9:$B$214,0))</x:f>
        <x:v>Qual informação você gostaria de receber
para operar o ativo?</x:v>
      </x:c>
      <x:c r="G180" s="78" t="str">
        <x:f>IF(INDEX('Calendário'!$P$9:$P$214,MATCH($C180,'Calendário'!$B$9:$B$214,0))="","",INDEX('Calendário'!$P$9:$P$214,MATCH($C180,'Calendário'!$B$9:$B$214,0)))</x:f>
      </x:c>
      <x:c r="H180" s="75" t="str">
        <x:v>Não iniciada</x:v>
      </x:c>
      <x:c r="I180" s="75" t="str">
        <x:v>Não se aplica</x:v>
      </x:c>
      <x:c r="J180" s="75" t="str">
        <x:v>Pendente</x:v>
      </x:c>
      <x:c r="K180" s="75" t="str">
        <x:v>Pendente</x:v>
      </x:c>
      <x:c r="L180" s="87" t="str">
        <x:f>(COUNTIFS('Calendário'!$B$9:$B$214,$C180,'Calendário'!$J$9:$J$214,"Agendado")+COUNTIFS('Calendário'!$B$9:$B$214,$C180,'Calendário'!$K$9:$K$214,"Agendado")+COUNTIFS('Calendário'!$B$9:$B$214,$C180,'Calendário'!$M$9:$M$214,"Agendado")+COUNTIFS('Calendário'!$B$9:$B$214,$C180,'Calendário'!$N$9:$N$214,"Agendado")+COUNTIFS('Calendário'!$B$9:$B$214,$C180,'Calendário'!$O$9:$O$214,"Agendado")+COUNTIFS('Calendário'!$B$9:$B$214,$C180,'Calendário'!$J$9:$J$214,"Publicado")+COUNTIFS('Calendário'!$B$9:$B$214,$C180,'Calendário'!$K$9:$K$214,"Publicado")+COUNTIFS('Calendário'!$B$9:$B$214,$C180,'Calendário'!$M$9:$M$214,"Publicado")+COUNTIFS('Calendário'!$B$9:$B$214,$C180,'Calendário'!$N$9:$N$214,"Publicado")+COUNTIFS('Calendário'!$B$9:$B$214,$C180,'Calendário'!$O$9:$O$214,"Publicado"))&amp;" de "&amp;(5-COUNTIFS('Calendário'!$B$9:$B$214,$C180,'Calendário'!$N$9:$N$214,"Não se aplica")-COUNTIFS('Calendário'!$B$9:$B$214,$C180,'Calendário'!$O$9:$O$214,"Não se aplica"))</x:f>
        <x:v>0 de 3</x:v>
      </x:c>
      <x:c r="M180" s="87" t="str">
        <x:f>(COUNTIFS('Calendário'!$B$9:$B$214,$C180,'Calendário'!$J$9:$J$214,"Publicado")+COUNTIFS('Calendário'!$B$9:$B$214,$C180,'Calendário'!$K$9:$K$214,"Publicado")+COUNTIFS('Calendário'!$B$9:$B$214,$C180,'Calendário'!$M$9:$M$214,"Publicado")+COUNTIFS('Calendário'!$B$9:$B$214,$C180,'Calendário'!$N$9:$N$214,"Publicado")+COUNTIFS('Calendário'!$B$9:$B$214,$C180,'Calendário'!$O$9:$O$214,"Publicado"))&amp;" de "&amp;(5-COUNTIFS('Calendário'!$B$9:$B$214,$C180,'Calendário'!$N$9:$N$214,"Não se aplica")-COUNTIFS('Calendário'!$B$9:$B$214,$C180,'Calendário'!$O$9:$O$214,"Não se aplica"))</x:f>
        <x:v>0 de 3</x:v>
      </x:c>
      <x:c r="N180" s="75"/>
      <x:c r="O180" s="75"/>
      <x:c r="P180" s="61"/>
    </x:row>
    <x:row r="181" ht="57" customHeight="1">
      <x:c r="A181" s="61"/>
      <x:c r="B181" s="69" t="str">
        <x:f>TEXT(D181,"yyyy-mm")</x:f>
        <x:v>2027-07</x:v>
      </x:c>
      <x:c r="C181" s="72" t="str">
        <x:v>P173</x:v>
      </x:c>
      <x:c r="D181" s="90" t="n">
        <x:f>INDEX('Calendário'!$C$9:$C$214,MATCH($C181,'Calendário'!$B$9:$B$214,0))</x:f>
        <x:v>46580.5</x:v>
      </x:c>
      <x:c r="E181" s="69" t="str">
        <x:f>INDEX('Calendário'!$F$9:$F$214,MATCH($C181,'Calendário'!$B$9:$B$214,0))</x:f>
        <x:v>Carrossel</x:v>
      </x:c>
      <x:c r="F181" s="69" t="str">
        <x:f>INDEX('Calendário'!$G$9:$G$214,MATCH($C181,'Calendário'!$B$9:$B$214,0))</x:f>
        <x:v>É possível encontrar a referência quando
ela é necessária?</x:v>
      </x:c>
      <x:c r="G181" s="78" t="str">
        <x:f>IF(INDEX('Calendário'!$P$9:$P$214,MATCH($C181,'Calendário'!$B$9:$B$214,0))="","",INDEX('Calendário'!$P$9:$P$214,MATCH($C181,'Calendário'!$B$9:$B$214,0)))</x:f>
      </x:c>
      <x:c r="H181" s="75" t="str">
        <x:v>Não iniciada</x:v>
      </x:c>
      <x:c r="I181" s="75" t="str">
        <x:v>Não se aplica</x:v>
      </x:c>
      <x:c r="J181" s="75" t="str">
        <x:v>Pendente</x:v>
      </x:c>
      <x:c r="K181" s="75" t="str">
        <x:v>Pendente</x:v>
      </x:c>
      <x:c r="L181" s="87" t="str">
        <x:f>(COUNTIFS('Calendário'!$B$9:$B$214,$C181,'Calendário'!$J$9:$J$214,"Agendado")+COUNTIFS('Calendário'!$B$9:$B$214,$C181,'Calendário'!$K$9:$K$214,"Agendado")+COUNTIFS('Calendário'!$B$9:$B$214,$C181,'Calendário'!$M$9:$M$214,"Agendado")+COUNTIFS('Calendário'!$B$9:$B$214,$C181,'Calendário'!$N$9:$N$214,"Agendado")+COUNTIFS('Calendário'!$B$9:$B$214,$C181,'Calendário'!$O$9:$O$214,"Agendado")+COUNTIFS('Calendário'!$B$9:$B$214,$C181,'Calendário'!$J$9:$J$214,"Publicado")+COUNTIFS('Calendário'!$B$9:$B$214,$C181,'Calendário'!$K$9:$K$214,"Publicado")+COUNTIFS('Calendário'!$B$9:$B$214,$C181,'Calendário'!$M$9:$M$214,"Publicado")+COUNTIFS('Calendário'!$B$9:$B$214,$C181,'Calendário'!$N$9:$N$214,"Publicado")+COUNTIFS('Calendário'!$B$9:$B$214,$C181,'Calendário'!$O$9:$O$214,"Publicado"))&amp;" de "&amp;(5-COUNTIFS('Calendário'!$B$9:$B$214,$C181,'Calendário'!$N$9:$N$214,"Não se aplica")-COUNTIFS('Calendário'!$B$9:$B$214,$C181,'Calendário'!$O$9:$O$214,"Não se aplica"))</x:f>
        <x:v>0 de 3</x:v>
      </x:c>
      <x:c r="M181" s="87" t="str">
        <x:f>(COUNTIFS('Calendário'!$B$9:$B$214,$C181,'Calendário'!$J$9:$J$214,"Publicado")+COUNTIFS('Calendário'!$B$9:$B$214,$C181,'Calendário'!$K$9:$K$214,"Publicado")+COUNTIFS('Calendário'!$B$9:$B$214,$C181,'Calendário'!$M$9:$M$214,"Publicado")+COUNTIFS('Calendário'!$B$9:$B$214,$C181,'Calendário'!$N$9:$N$214,"Publicado")+COUNTIFS('Calendário'!$B$9:$B$214,$C181,'Calendário'!$O$9:$O$214,"Publicado"))&amp;" de "&amp;(5-COUNTIFS('Calendário'!$B$9:$B$214,$C181,'Calendário'!$N$9:$N$214,"Não se aplica")-COUNTIFS('Calendário'!$B$9:$B$214,$C181,'Calendário'!$O$9:$O$214,"Não se aplica"))</x:f>
        <x:v>0 de 3</x:v>
      </x:c>
      <x:c r="N181" s="75"/>
      <x:c r="O181" s="75"/>
      <x:c r="P181" s="61"/>
    </x:row>
    <x:row r="182" ht="57" customHeight="1">
      <x:c r="A182" s="61"/>
      <x:c r="B182" s="69" t="str">
        <x:f>TEXT(D182,"yyyy-mm")</x:f>
        <x:v>2027-07</x:v>
      </x:c>
      <x:c r="C182" s="72" t="str">
        <x:v>P174</x:v>
      </x:c>
      <x:c r="D182" s="90" t="n">
        <x:f>INDEX('Calendário'!$C$9:$C$214,MATCH($C182,'Calendário'!$B$9:$B$214,0))</x:f>
        <x:v>46582.5</x:v>
      </x:c>
      <x:c r="E182" s="69" t="str">
        <x:f>INDEX('Calendário'!$F$9:$F$214,MATCH($C182,'Calendário'!$B$9:$B$214,0))</x:f>
        <x:v>Reel</x:v>
      </x:c>
      <x:c r="F182" s="69" t="str">
        <x:f>INDEX('Calendário'!$G$9:$G$214,MATCH($C182,'Calendário'!$B$9:$B$214,0))</x:f>
        <x:v>Exemplo prático: localização de
documentos.</x:v>
      </x:c>
      <x:c r="G182" s="78" t="str">
        <x:f>IF(INDEX('Calendário'!$P$9:$P$214,MATCH($C182,'Calendário'!$B$9:$B$214,0))="","",INDEX('Calendário'!$P$9:$P$214,MATCH($C182,'Calendário'!$B$9:$B$214,0)))</x:f>
      </x:c>
      <x:c r="H182" s="75" t="str">
        <x:v>Não iniciada</x:v>
      </x:c>
      <x:c r="I182" s="75" t="str">
        <x:v>Não iniciado</x:v>
      </x:c>
      <x:c r="J182" s="75" t="str">
        <x:v>Pendente</x:v>
      </x:c>
      <x:c r="K182" s="75" t="str">
        <x:v>Pendente</x:v>
      </x:c>
      <x:c r="L182" s="87" t="str">
        <x:f>(COUNTIFS('Calendário'!$B$9:$B$214,$C182,'Calendário'!$J$9:$J$214,"Agendado")+COUNTIFS('Calendário'!$B$9:$B$214,$C182,'Calendário'!$K$9:$K$214,"Agendado")+COUNTIFS('Calendário'!$B$9:$B$214,$C182,'Calendário'!$M$9:$M$214,"Agendado")+COUNTIFS('Calendário'!$B$9:$B$214,$C182,'Calendário'!$N$9:$N$214,"Agendado")+COUNTIFS('Calendário'!$B$9:$B$214,$C182,'Calendário'!$O$9:$O$214,"Agendado")+COUNTIFS('Calendário'!$B$9:$B$214,$C182,'Calendário'!$J$9:$J$214,"Publicado")+COUNTIFS('Calendário'!$B$9:$B$214,$C182,'Calendário'!$K$9:$K$214,"Publicado")+COUNTIFS('Calendário'!$B$9:$B$214,$C182,'Calendário'!$M$9:$M$214,"Publicado")+COUNTIFS('Calendário'!$B$9:$B$214,$C182,'Calendário'!$N$9:$N$214,"Publicado")+COUNTIFS('Calendário'!$B$9:$B$214,$C182,'Calendário'!$O$9:$O$214,"Publicado"))&amp;" de "&amp;(5-COUNTIFS('Calendário'!$B$9:$B$214,$C182,'Calendário'!$N$9:$N$214,"Não se aplica")-COUNTIFS('Calendário'!$B$9:$B$214,$C182,'Calendário'!$O$9:$O$214,"Não se aplica"))</x:f>
        <x:v>0 de 5</x:v>
      </x:c>
      <x:c r="M182" s="87" t="str">
        <x:f>(COUNTIFS('Calendário'!$B$9:$B$214,$C182,'Calendário'!$J$9:$J$214,"Publicado")+COUNTIFS('Calendário'!$B$9:$B$214,$C182,'Calendário'!$K$9:$K$214,"Publicado")+COUNTIFS('Calendário'!$B$9:$B$214,$C182,'Calendário'!$M$9:$M$214,"Publicado")+COUNTIFS('Calendário'!$B$9:$B$214,$C182,'Calendário'!$N$9:$N$214,"Publicado")+COUNTIFS('Calendário'!$B$9:$B$214,$C182,'Calendário'!$O$9:$O$214,"Publicado"))&amp;" de "&amp;(5-COUNTIFS('Calendário'!$B$9:$B$214,$C182,'Calendário'!$N$9:$N$214,"Não se aplica")-COUNTIFS('Calendário'!$B$9:$B$214,$C182,'Calendário'!$O$9:$O$214,"Não se aplica"))</x:f>
        <x:v>0 de 5</x:v>
      </x:c>
      <x:c r="N182" s="75"/>
      <x:c r="O182" s="75"/>
      <x:c r="P182" s="61"/>
    </x:row>
    <x:row r="183" ht="57" customHeight="1">
      <x:c r="A183" s="61"/>
      <x:c r="B183" s="69" t="str">
        <x:f>TEXT(D183,"yyyy-mm")</x:f>
        <x:v>2027-07</x:v>
      </x:c>
      <x:c r="C183" s="72" t="str">
        <x:v>P175</x:v>
      </x:c>
      <x:c r="D183" s="90" t="n">
        <x:f>INDEX('Calendário'!$C$9:$C$214,MATCH($C183,'Calendário'!$B$9:$B$214,0))</x:f>
        <x:v>46584.5</x:v>
      </x:c>
      <x:c r="E183" s="69" t="str">
        <x:f>INDEX('Calendário'!$F$9:$F$214,MATCH($C183,'Calendário'!$B$9:$B$214,0))</x:f>
        <x:v>Carrossel</x:v>
      </x:c>
      <x:c r="F183" s="69" t="str">
        <x:f>INDEX('Calendário'!$G$9:$G$214,MATCH($C183,'Calendário'!$B$9:$B$214,0))</x:f>
        <x:v>Checklist: localização de documentos.</x:v>
      </x:c>
      <x:c r="G183" s="78" t="str">
        <x:f>IF(INDEX('Calendário'!$P$9:$P$214,MATCH($C183,'Calendário'!$B$9:$B$214,0))="","",INDEX('Calendário'!$P$9:$P$214,MATCH($C183,'Calendário'!$B$9:$B$214,0)))</x:f>
      </x:c>
      <x:c r="H183" s="75" t="str">
        <x:v>Não iniciada</x:v>
      </x:c>
      <x:c r="I183" s="75" t="str">
        <x:v>Não se aplica</x:v>
      </x:c>
      <x:c r="J183" s="75" t="str">
        <x:v>Pendente</x:v>
      </x:c>
      <x:c r="K183" s="75" t="str">
        <x:v>Pendente</x:v>
      </x:c>
      <x:c r="L183" s="87" t="str">
        <x:f>(COUNTIFS('Calendário'!$B$9:$B$214,$C183,'Calendário'!$J$9:$J$214,"Agendado")+COUNTIFS('Calendário'!$B$9:$B$214,$C183,'Calendário'!$K$9:$K$214,"Agendado")+COUNTIFS('Calendário'!$B$9:$B$214,$C183,'Calendário'!$M$9:$M$214,"Agendado")+COUNTIFS('Calendário'!$B$9:$B$214,$C183,'Calendário'!$N$9:$N$214,"Agendado")+COUNTIFS('Calendário'!$B$9:$B$214,$C183,'Calendário'!$O$9:$O$214,"Agendado")+COUNTIFS('Calendário'!$B$9:$B$214,$C183,'Calendário'!$J$9:$J$214,"Publicado")+COUNTIFS('Calendário'!$B$9:$B$214,$C183,'Calendário'!$K$9:$K$214,"Publicado")+COUNTIFS('Calendário'!$B$9:$B$214,$C183,'Calendário'!$M$9:$M$214,"Publicado")+COUNTIFS('Calendário'!$B$9:$B$214,$C183,'Calendário'!$N$9:$N$214,"Publicado")+COUNTIFS('Calendário'!$B$9:$B$214,$C183,'Calendário'!$O$9:$O$214,"Publicado"))&amp;" de "&amp;(5-COUNTIFS('Calendário'!$B$9:$B$214,$C183,'Calendário'!$N$9:$N$214,"Não se aplica")-COUNTIFS('Calendário'!$B$9:$B$214,$C183,'Calendário'!$O$9:$O$214,"Não se aplica"))</x:f>
        <x:v>0 de 3</x:v>
      </x:c>
      <x:c r="M183" s="87" t="str">
        <x:f>(COUNTIFS('Calendário'!$B$9:$B$214,$C183,'Calendário'!$J$9:$J$214,"Publicado")+COUNTIFS('Calendário'!$B$9:$B$214,$C183,'Calendário'!$K$9:$K$214,"Publicado")+COUNTIFS('Calendário'!$B$9:$B$214,$C183,'Calendário'!$M$9:$M$214,"Publicado")+COUNTIFS('Calendário'!$B$9:$B$214,$C183,'Calendário'!$N$9:$N$214,"Publicado")+COUNTIFS('Calendário'!$B$9:$B$214,$C183,'Calendário'!$O$9:$O$214,"Publicado"))&amp;" de "&amp;(5-COUNTIFS('Calendário'!$B$9:$B$214,$C183,'Calendário'!$N$9:$N$214,"Não se aplica")-COUNTIFS('Calendário'!$B$9:$B$214,$C183,'Calendário'!$O$9:$O$214,"Não se aplica"))</x:f>
        <x:v>0 de 3</x:v>
      </x:c>
      <x:c r="N183" s="75"/>
      <x:c r="O183" s="75"/>
      <x:c r="P183" s="61"/>
    </x:row>
    <x:row r="184" ht="57" customHeight="1">
      <x:c r="A184" s="61"/>
      <x:c r="B184" s="69" t="str">
        <x:f>TEXT(D184,"yyyy-mm")</x:f>
        <x:v>2027-07</x:v>
      </x:c>
      <x:c r="C184" s="72" t="str">
        <x:v>P176</x:v>
      </x:c>
      <x:c r="D184" s="90" t="n">
        <x:f>INDEX('Calendário'!$C$9:$C$214,MATCH($C184,'Calendário'!$B$9:$B$214,0))</x:f>
        <x:v>46585.5</x:v>
      </x:c>
      <x:c r="E184" s="69" t="str">
        <x:f>INDEX('Calendário'!$F$9:$F$214,MATCH($C184,'Calendário'!$B$9:$B$214,0))</x:f>
        <x:v>Estático</x:v>
      </x:c>
      <x:c r="F184" s="69" t="str">
        <x:f>INDEX('Calendário'!$G$9:$G$214,MATCH($C184,'Calendário'!$B$9:$B$214,0))</x:f>
        <x:v>Converse com a Arxis sobre localização de
documentos.</x:v>
      </x:c>
      <x:c r="G184" s="78" t="str">
        <x:f>IF(INDEX('Calendário'!$P$9:$P$214,MATCH($C184,'Calendário'!$B$9:$B$214,0))="","",INDEX('Calendário'!$P$9:$P$214,MATCH($C184,'Calendário'!$B$9:$B$214,0)))</x:f>
      </x:c>
      <x:c r="H184" s="75" t="str">
        <x:v>Não iniciada</x:v>
      </x:c>
      <x:c r="I184" s="75" t="str">
        <x:v>Não se aplica</x:v>
      </x:c>
      <x:c r="J184" s="75" t="str">
        <x:v>Pendente</x:v>
      </x:c>
      <x:c r="K184" s="75" t="str">
        <x:v>Pendente</x:v>
      </x:c>
      <x:c r="L184" s="87" t="str">
        <x:f>(COUNTIFS('Calendário'!$B$9:$B$214,$C184,'Calendário'!$J$9:$J$214,"Agendado")+COUNTIFS('Calendário'!$B$9:$B$214,$C184,'Calendário'!$K$9:$K$214,"Agendado")+COUNTIFS('Calendário'!$B$9:$B$214,$C184,'Calendário'!$M$9:$M$214,"Agendado")+COUNTIFS('Calendário'!$B$9:$B$214,$C184,'Calendário'!$N$9:$N$214,"Agendado")+COUNTIFS('Calendário'!$B$9:$B$214,$C184,'Calendário'!$O$9:$O$214,"Agendado")+COUNTIFS('Calendário'!$B$9:$B$214,$C184,'Calendário'!$J$9:$J$214,"Publicado")+COUNTIFS('Calendário'!$B$9:$B$214,$C184,'Calendário'!$K$9:$K$214,"Publicado")+COUNTIFS('Calendário'!$B$9:$B$214,$C184,'Calendário'!$M$9:$M$214,"Publicado")+COUNTIFS('Calendário'!$B$9:$B$214,$C184,'Calendário'!$N$9:$N$214,"Publicado")+COUNTIFS('Calendário'!$B$9:$B$214,$C184,'Calendário'!$O$9:$O$214,"Publicado"))&amp;" de "&amp;(5-COUNTIFS('Calendário'!$B$9:$B$214,$C184,'Calendário'!$N$9:$N$214,"Não se aplica")-COUNTIFS('Calendário'!$B$9:$B$214,$C184,'Calendário'!$O$9:$O$214,"Não se aplica"))</x:f>
        <x:v>0 de 3</x:v>
      </x:c>
      <x:c r="M184" s="87" t="str">
        <x:f>(COUNTIFS('Calendário'!$B$9:$B$214,$C184,'Calendário'!$J$9:$J$214,"Publicado")+COUNTIFS('Calendário'!$B$9:$B$214,$C184,'Calendário'!$K$9:$K$214,"Publicado")+COUNTIFS('Calendário'!$B$9:$B$214,$C184,'Calendário'!$M$9:$M$214,"Publicado")+COUNTIFS('Calendário'!$B$9:$B$214,$C184,'Calendário'!$N$9:$N$214,"Publicado")+COUNTIFS('Calendário'!$B$9:$B$214,$C184,'Calendário'!$O$9:$O$214,"Publicado"))&amp;" de "&amp;(5-COUNTIFS('Calendário'!$B$9:$B$214,$C184,'Calendário'!$N$9:$N$214,"Não se aplica")-COUNTIFS('Calendário'!$B$9:$B$214,$C184,'Calendário'!$O$9:$O$214,"Não se aplica"))</x:f>
        <x:v>0 de 3</x:v>
      </x:c>
      <x:c r="N184" s="75"/>
      <x:c r="O184" s="75"/>
      <x:c r="P184" s="61"/>
    </x:row>
    <x:row r="185" ht="57" customHeight="1">
      <x:c r="A185" s="61"/>
      <x:c r="B185" s="69" t="str">
        <x:f>TEXT(D185,"yyyy-mm")</x:f>
        <x:v>2027-07</x:v>
      </x:c>
      <x:c r="C185" s="72" t="str">
        <x:v>P177</x:v>
      </x:c>
      <x:c r="D185" s="90" t="n">
        <x:f>INDEX('Calendário'!$C$9:$C$214,MATCH($C185,'Calendário'!$B$9:$B$214,0))</x:f>
        <x:v>46587.5</x:v>
      </x:c>
      <x:c r="E185" s="69" t="str">
        <x:f>INDEX('Calendário'!$F$9:$F$214,MATCH($C185,'Calendário'!$B$9:$B$214,0))</x:f>
        <x:v>Carrossel</x:v>
      </x:c>
      <x:c r="F185" s="69" t="str">
        <x:f>INDEX('Calendário'!$G$9:$G$214,MATCH($C185,'Calendário'!$B$9:$B$214,0))</x:f>
        <x:v>O que merece virar um acordo para o
próximo projeto?</x:v>
      </x:c>
      <x:c r="G185" s="78" t="str">
        <x:f>IF(INDEX('Calendário'!$P$9:$P$214,MATCH($C185,'Calendário'!$B$9:$B$214,0))="","",INDEX('Calendário'!$P$9:$P$214,MATCH($C185,'Calendário'!$B$9:$B$214,0)))</x:f>
      </x:c>
      <x:c r="H185" s="75" t="str">
        <x:v>Não iniciada</x:v>
      </x:c>
      <x:c r="I185" s="75" t="str">
        <x:v>Não se aplica</x:v>
      </x:c>
      <x:c r="J185" s="75" t="str">
        <x:v>Pendente</x:v>
      </x:c>
      <x:c r="K185" s="75" t="str">
        <x:v>Pendente</x:v>
      </x:c>
      <x:c r="L185" s="87" t="str">
        <x:f>(COUNTIFS('Calendário'!$B$9:$B$214,$C185,'Calendário'!$J$9:$J$214,"Agendado")+COUNTIFS('Calendário'!$B$9:$B$214,$C185,'Calendário'!$K$9:$K$214,"Agendado")+COUNTIFS('Calendário'!$B$9:$B$214,$C185,'Calendário'!$M$9:$M$214,"Agendado")+COUNTIFS('Calendário'!$B$9:$B$214,$C185,'Calendário'!$N$9:$N$214,"Agendado")+COUNTIFS('Calendário'!$B$9:$B$214,$C185,'Calendário'!$O$9:$O$214,"Agendado")+COUNTIFS('Calendário'!$B$9:$B$214,$C185,'Calendário'!$J$9:$J$214,"Publicado")+COUNTIFS('Calendário'!$B$9:$B$214,$C185,'Calendário'!$K$9:$K$214,"Publicado")+COUNTIFS('Calendário'!$B$9:$B$214,$C185,'Calendário'!$M$9:$M$214,"Publicado")+COUNTIFS('Calendário'!$B$9:$B$214,$C185,'Calendário'!$N$9:$N$214,"Publicado")+COUNTIFS('Calendário'!$B$9:$B$214,$C185,'Calendário'!$O$9:$O$214,"Publicado"))&amp;" de "&amp;(5-COUNTIFS('Calendário'!$B$9:$B$214,$C185,'Calendário'!$N$9:$N$214,"Não se aplica")-COUNTIFS('Calendário'!$B$9:$B$214,$C185,'Calendário'!$O$9:$O$214,"Não se aplica"))</x:f>
        <x:v>0 de 3</x:v>
      </x:c>
      <x:c r="M185" s="87" t="str">
        <x:f>(COUNTIFS('Calendário'!$B$9:$B$214,$C185,'Calendário'!$J$9:$J$214,"Publicado")+COUNTIFS('Calendário'!$B$9:$B$214,$C185,'Calendário'!$K$9:$K$214,"Publicado")+COUNTIFS('Calendário'!$B$9:$B$214,$C185,'Calendário'!$M$9:$M$214,"Publicado")+COUNTIFS('Calendário'!$B$9:$B$214,$C185,'Calendário'!$N$9:$N$214,"Publicado")+COUNTIFS('Calendário'!$B$9:$B$214,$C185,'Calendário'!$O$9:$O$214,"Publicado"))&amp;" de "&amp;(5-COUNTIFS('Calendário'!$B$9:$B$214,$C185,'Calendário'!$N$9:$N$214,"Não se aplica")-COUNTIFS('Calendário'!$B$9:$B$214,$C185,'Calendário'!$O$9:$O$214,"Não se aplica"))</x:f>
        <x:v>0 de 3</x:v>
      </x:c>
      <x:c r="N185" s="75"/>
      <x:c r="O185" s="75"/>
      <x:c r="P185" s="61"/>
    </x:row>
    <x:row r="186" ht="57" customHeight="1">
      <x:c r="A186" s="61"/>
      <x:c r="B186" s="69" t="str">
        <x:f>TEXT(D186,"yyyy-mm")</x:f>
        <x:v>2027-07</x:v>
      </x:c>
      <x:c r="C186" s="72" t="str">
        <x:v>P178</x:v>
      </x:c>
      <x:c r="D186" s="90" t="n">
        <x:f>INDEX('Calendário'!$C$9:$C$214,MATCH($C186,'Calendário'!$B$9:$B$214,0))</x:f>
        <x:v>46589.5</x:v>
      </x:c>
      <x:c r="E186" s="69" t="str">
        <x:f>INDEX('Calendário'!$F$9:$F$214,MATCH($C186,'Calendário'!$B$9:$B$214,0))</x:f>
        <x:v>Reel</x:v>
      </x:c>
      <x:c r="F186" s="69" t="str">
        <x:f>INDEX('Calendário'!$G$9:$G$214,MATCH($C186,'Calendário'!$B$9:$B$214,0))</x:f>
        <x:v>Exemplo prático: lições aprendidas.</x:v>
      </x:c>
      <x:c r="G186" s="78" t="str">
        <x:f>IF(INDEX('Calendário'!$P$9:$P$214,MATCH($C186,'Calendário'!$B$9:$B$214,0))="","",INDEX('Calendário'!$P$9:$P$214,MATCH($C186,'Calendário'!$B$9:$B$214,0)))</x:f>
      </x:c>
      <x:c r="H186" s="75" t="str">
        <x:v>Não iniciada</x:v>
      </x:c>
      <x:c r="I186" s="75" t="str">
        <x:v>Não iniciado</x:v>
      </x:c>
      <x:c r="J186" s="75" t="str">
        <x:v>Pendente</x:v>
      </x:c>
      <x:c r="K186" s="75" t="str">
        <x:v>Pendente</x:v>
      </x:c>
      <x:c r="L186" s="87" t="str">
        <x:f>(COUNTIFS('Calendário'!$B$9:$B$214,$C186,'Calendário'!$J$9:$J$214,"Agendado")+COUNTIFS('Calendário'!$B$9:$B$214,$C186,'Calendário'!$K$9:$K$214,"Agendado")+COUNTIFS('Calendário'!$B$9:$B$214,$C186,'Calendário'!$M$9:$M$214,"Agendado")+COUNTIFS('Calendário'!$B$9:$B$214,$C186,'Calendário'!$N$9:$N$214,"Agendado")+COUNTIFS('Calendário'!$B$9:$B$214,$C186,'Calendário'!$O$9:$O$214,"Agendado")+COUNTIFS('Calendário'!$B$9:$B$214,$C186,'Calendário'!$J$9:$J$214,"Publicado")+COUNTIFS('Calendário'!$B$9:$B$214,$C186,'Calendário'!$K$9:$K$214,"Publicado")+COUNTIFS('Calendário'!$B$9:$B$214,$C186,'Calendário'!$M$9:$M$214,"Publicado")+COUNTIFS('Calendário'!$B$9:$B$214,$C186,'Calendário'!$N$9:$N$214,"Publicado")+COUNTIFS('Calendário'!$B$9:$B$214,$C186,'Calendário'!$O$9:$O$214,"Publicado"))&amp;" de "&amp;(5-COUNTIFS('Calendário'!$B$9:$B$214,$C186,'Calendário'!$N$9:$N$214,"Não se aplica")-COUNTIFS('Calendário'!$B$9:$B$214,$C186,'Calendário'!$O$9:$O$214,"Não se aplica"))</x:f>
        <x:v>0 de 5</x:v>
      </x:c>
      <x:c r="M186" s="87" t="str">
        <x:f>(COUNTIFS('Calendário'!$B$9:$B$214,$C186,'Calendário'!$J$9:$J$214,"Publicado")+COUNTIFS('Calendário'!$B$9:$B$214,$C186,'Calendário'!$K$9:$K$214,"Publicado")+COUNTIFS('Calendário'!$B$9:$B$214,$C186,'Calendário'!$M$9:$M$214,"Publicado")+COUNTIFS('Calendário'!$B$9:$B$214,$C186,'Calendário'!$N$9:$N$214,"Publicado")+COUNTIFS('Calendário'!$B$9:$B$214,$C186,'Calendário'!$O$9:$O$214,"Publicado"))&amp;" de "&amp;(5-COUNTIFS('Calendário'!$B$9:$B$214,$C186,'Calendário'!$N$9:$N$214,"Não se aplica")-COUNTIFS('Calendário'!$B$9:$B$214,$C186,'Calendário'!$O$9:$O$214,"Não se aplica"))</x:f>
        <x:v>0 de 5</x:v>
      </x:c>
      <x:c r="N186" s="75"/>
      <x:c r="O186" s="75"/>
      <x:c r="P186" s="61"/>
    </x:row>
    <x:row r="187" ht="57" customHeight="1">
      <x:c r="A187" s="61"/>
      <x:c r="B187" s="69" t="str">
        <x:f>TEXT(D187,"yyyy-mm")</x:f>
        <x:v>2027-07</x:v>
      </x:c>
      <x:c r="C187" s="72" t="str">
        <x:v>P179</x:v>
      </x:c>
      <x:c r="D187" s="90" t="n">
        <x:f>INDEX('Calendário'!$C$9:$C$214,MATCH($C187,'Calendário'!$B$9:$B$214,0))</x:f>
        <x:v>46591.5</x:v>
      </x:c>
      <x:c r="E187" s="69" t="str">
        <x:f>INDEX('Calendário'!$F$9:$F$214,MATCH($C187,'Calendário'!$B$9:$B$214,0))</x:f>
        <x:v>Carrossel</x:v>
      </x:c>
      <x:c r="F187" s="69" t="str">
        <x:f>INDEX('Calendário'!$G$9:$G$214,MATCH($C187,'Calendário'!$B$9:$B$214,0))</x:f>
        <x:v>Checklist: lições aprendidas.</x:v>
      </x:c>
      <x:c r="G187" s="78" t="str">
        <x:f>IF(INDEX('Calendário'!$P$9:$P$214,MATCH($C187,'Calendário'!$B$9:$B$214,0))="","",INDEX('Calendário'!$P$9:$P$214,MATCH($C187,'Calendário'!$B$9:$B$214,0)))</x:f>
      </x:c>
      <x:c r="H187" s="75" t="str">
        <x:v>Não iniciada</x:v>
      </x:c>
      <x:c r="I187" s="75" t="str">
        <x:v>Não se aplica</x:v>
      </x:c>
      <x:c r="J187" s="75" t="str">
        <x:v>Pendente</x:v>
      </x:c>
      <x:c r="K187" s="75" t="str">
        <x:v>Pendente</x:v>
      </x:c>
      <x:c r="L187" s="87" t="str">
        <x:f>(COUNTIFS('Calendário'!$B$9:$B$214,$C187,'Calendário'!$J$9:$J$214,"Agendado")+COUNTIFS('Calendário'!$B$9:$B$214,$C187,'Calendário'!$K$9:$K$214,"Agendado")+COUNTIFS('Calendário'!$B$9:$B$214,$C187,'Calendário'!$M$9:$M$214,"Agendado")+COUNTIFS('Calendário'!$B$9:$B$214,$C187,'Calendário'!$N$9:$N$214,"Agendado")+COUNTIFS('Calendário'!$B$9:$B$214,$C187,'Calendário'!$O$9:$O$214,"Agendado")+COUNTIFS('Calendário'!$B$9:$B$214,$C187,'Calendário'!$J$9:$J$214,"Publicado")+COUNTIFS('Calendário'!$B$9:$B$214,$C187,'Calendário'!$K$9:$K$214,"Publicado")+COUNTIFS('Calendário'!$B$9:$B$214,$C187,'Calendário'!$M$9:$M$214,"Publicado")+COUNTIFS('Calendário'!$B$9:$B$214,$C187,'Calendário'!$N$9:$N$214,"Publicado")+COUNTIFS('Calendário'!$B$9:$B$214,$C187,'Calendário'!$O$9:$O$214,"Publicado"))&amp;" de "&amp;(5-COUNTIFS('Calendário'!$B$9:$B$214,$C187,'Calendário'!$N$9:$N$214,"Não se aplica")-COUNTIFS('Calendário'!$B$9:$B$214,$C187,'Calendário'!$O$9:$O$214,"Não se aplica"))</x:f>
        <x:v>0 de 3</x:v>
      </x:c>
      <x:c r="M187" s="87" t="str">
        <x:f>(COUNTIFS('Calendário'!$B$9:$B$214,$C187,'Calendário'!$J$9:$J$214,"Publicado")+COUNTIFS('Calendário'!$B$9:$B$214,$C187,'Calendário'!$K$9:$K$214,"Publicado")+COUNTIFS('Calendário'!$B$9:$B$214,$C187,'Calendário'!$M$9:$M$214,"Publicado")+COUNTIFS('Calendário'!$B$9:$B$214,$C187,'Calendário'!$N$9:$N$214,"Publicado")+COUNTIFS('Calendário'!$B$9:$B$214,$C187,'Calendário'!$O$9:$O$214,"Publicado"))&amp;" de "&amp;(5-COUNTIFS('Calendário'!$B$9:$B$214,$C187,'Calendário'!$N$9:$N$214,"Não se aplica")-COUNTIFS('Calendário'!$B$9:$B$214,$C187,'Calendário'!$O$9:$O$214,"Não se aplica"))</x:f>
        <x:v>0 de 3</x:v>
      </x:c>
      <x:c r="N187" s="75"/>
      <x:c r="O187" s="75"/>
      <x:c r="P187" s="61"/>
    </x:row>
    <x:row r="188" ht="57" customHeight="1">
      <x:c r="A188" s="61"/>
      <x:c r="B188" s="69" t="str">
        <x:f>TEXT(D188,"yyyy-mm")</x:f>
        <x:v>2027-07</x:v>
      </x:c>
      <x:c r="C188" s="72" t="str">
        <x:v>P180</x:v>
      </x:c>
      <x:c r="D188" s="90" t="n">
        <x:f>INDEX('Calendário'!$C$9:$C$214,MATCH($C188,'Calendário'!$B$9:$B$214,0))</x:f>
        <x:v>46592.5</x:v>
      </x:c>
      <x:c r="E188" s="69" t="str">
        <x:f>INDEX('Calendário'!$F$9:$F$214,MATCH($C188,'Calendário'!$B$9:$B$214,0))</x:f>
        <x:v>Estático</x:v>
      </x:c>
      <x:c r="F188" s="69" t="str">
        <x:f>INDEX('Calendário'!$G$9:$G$214,MATCH($C188,'Calendário'!$B$9:$B$214,0))</x:f>
        <x:v>Qual aprendizado você levaria para o
próximo projeto?</x:v>
      </x:c>
      <x:c r="G188" s="78" t="str">
        <x:f>IF(INDEX('Calendário'!$P$9:$P$214,MATCH($C188,'Calendário'!$B$9:$B$214,0))="","",INDEX('Calendário'!$P$9:$P$214,MATCH($C188,'Calendário'!$B$9:$B$214,0)))</x:f>
      </x:c>
      <x:c r="H188" s="75" t="str">
        <x:v>Não iniciada</x:v>
      </x:c>
      <x:c r="I188" s="75" t="str">
        <x:v>Não se aplica</x:v>
      </x:c>
      <x:c r="J188" s="75" t="str">
        <x:v>Pendente</x:v>
      </x:c>
      <x:c r="K188" s="75" t="str">
        <x:v>Pendente</x:v>
      </x:c>
      <x:c r="L188" s="87" t="str">
        <x:f>(COUNTIFS('Calendário'!$B$9:$B$214,$C188,'Calendário'!$J$9:$J$214,"Agendado")+COUNTIFS('Calendário'!$B$9:$B$214,$C188,'Calendário'!$K$9:$K$214,"Agendado")+COUNTIFS('Calendário'!$B$9:$B$214,$C188,'Calendário'!$M$9:$M$214,"Agendado")+COUNTIFS('Calendário'!$B$9:$B$214,$C188,'Calendário'!$N$9:$N$214,"Agendado")+COUNTIFS('Calendário'!$B$9:$B$214,$C188,'Calendário'!$O$9:$O$214,"Agendado")+COUNTIFS('Calendário'!$B$9:$B$214,$C188,'Calendário'!$J$9:$J$214,"Publicado")+COUNTIFS('Calendário'!$B$9:$B$214,$C188,'Calendário'!$K$9:$K$214,"Publicado")+COUNTIFS('Calendário'!$B$9:$B$214,$C188,'Calendário'!$M$9:$M$214,"Publicado")+COUNTIFS('Calendário'!$B$9:$B$214,$C188,'Calendário'!$N$9:$N$214,"Publicado")+COUNTIFS('Calendário'!$B$9:$B$214,$C188,'Calendário'!$O$9:$O$214,"Publicado"))&amp;" de "&amp;(5-COUNTIFS('Calendário'!$B$9:$B$214,$C188,'Calendário'!$N$9:$N$214,"Não se aplica")-COUNTIFS('Calendário'!$B$9:$B$214,$C188,'Calendário'!$O$9:$O$214,"Não se aplica"))</x:f>
        <x:v>0 de 3</x:v>
      </x:c>
      <x:c r="M188" s="87" t="str">
        <x:f>(COUNTIFS('Calendário'!$B$9:$B$214,$C188,'Calendário'!$J$9:$J$214,"Publicado")+COUNTIFS('Calendário'!$B$9:$B$214,$C188,'Calendário'!$K$9:$K$214,"Publicado")+COUNTIFS('Calendário'!$B$9:$B$214,$C188,'Calendário'!$M$9:$M$214,"Publicado")+COUNTIFS('Calendário'!$B$9:$B$214,$C188,'Calendário'!$N$9:$N$214,"Publicado")+COUNTIFS('Calendário'!$B$9:$B$214,$C188,'Calendário'!$O$9:$O$214,"Publicado"))&amp;" de "&amp;(5-COUNTIFS('Calendário'!$B$9:$B$214,$C188,'Calendário'!$N$9:$N$214,"Não se aplica")-COUNTIFS('Calendário'!$B$9:$B$214,$C188,'Calendário'!$O$9:$O$214,"Não se aplica"))</x:f>
        <x:v>0 de 3</x:v>
      </x:c>
      <x:c r="N188" s="75"/>
      <x:c r="O188" s="75"/>
      <x:c r="P188" s="61"/>
    </x:row>
    <x:row r="189" ht="57" customHeight="1">
      <x:c r="A189" s="61"/>
      <x:c r="B189" s="69" t="str">
        <x:f>TEXT(D189,"yyyy-mm")</x:f>
        <x:v>2027-07</x:v>
      </x:c>
      <x:c r="C189" s="72" t="str">
        <x:v>P181</x:v>
      </x:c>
      <x:c r="D189" s="90" t="n">
        <x:f>INDEX('Calendário'!$C$9:$C$214,MATCH($C189,'Calendário'!$B$9:$B$214,0))</x:f>
        <x:v>46594.5</x:v>
      </x:c>
      <x:c r="E189" s="69" t="str">
        <x:f>INDEX('Calendário'!$F$9:$F$214,MATCH($C189,'Calendário'!$B$9:$B$214,0))</x:f>
        <x:v>Carrossel</x:v>
      </x:c>
      <x:c r="F189" s="69" t="str">
        <x:f>INDEX('Calendário'!$G$9:$G$214,MATCH($C189,'Calendário'!$B$9:$B$214,0))</x:f>
        <x:v>O padrão combinado ainda atende à rotina?</x:v>
      </x:c>
      <x:c r="G189" s="78" t="str">
        <x:f>IF(INDEX('Calendário'!$P$9:$P$214,MATCH($C189,'Calendário'!$B$9:$B$214,0))="","",INDEX('Calendário'!$P$9:$P$214,MATCH($C189,'Calendário'!$B$9:$B$214,0)))</x:f>
      </x:c>
      <x:c r="H189" s="75" t="str">
        <x:v>Não iniciada</x:v>
      </x:c>
      <x:c r="I189" s="75" t="str">
        <x:v>Não se aplica</x:v>
      </x:c>
      <x:c r="J189" s="75" t="str">
        <x:v>Pendente</x:v>
      </x:c>
      <x:c r="K189" s="75" t="str">
        <x:v>Pendente</x:v>
      </x:c>
      <x:c r="L189" s="87" t="str">
        <x:f>(COUNTIFS('Calendário'!$B$9:$B$214,$C189,'Calendário'!$J$9:$J$214,"Agendado")+COUNTIFS('Calendário'!$B$9:$B$214,$C189,'Calendário'!$K$9:$K$214,"Agendado")+COUNTIFS('Calendário'!$B$9:$B$214,$C189,'Calendário'!$M$9:$M$214,"Agendado")+COUNTIFS('Calendário'!$B$9:$B$214,$C189,'Calendário'!$N$9:$N$214,"Agendado")+COUNTIFS('Calendário'!$B$9:$B$214,$C189,'Calendário'!$O$9:$O$214,"Agendado")+COUNTIFS('Calendário'!$B$9:$B$214,$C189,'Calendário'!$J$9:$J$214,"Publicado")+COUNTIFS('Calendário'!$B$9:$B$214,$C189,'Calendário'!$K$9:$K$214,"Publicado")+COUNTIFS('Calendário'!$B$9:$B$214,$C189,'Calendário'!$M$9:$M$214,"Publicado")+COUNTIFS('Calendário'!$B$9:$B$214,$C189,'Calendário'!$N$9:$N$214,"Publicado")+COUNTIFS('Calendário'!$B$9:$B$214,$C189,'Calendário'!$O$9:$O$214,"Publicado"))&amp;" de "&amp;(5-COUNTIFS('Calendário'!$B$9:$B$214,$C189,'Calendário'!$N$9:$N$214,"Não se aplica")-COUNTIFS('Calendário'!$B$9:$B$214,$C189,'Calendário'!$O$9:$O$214,"Não se aplica"))</x:f>
        <x:v>0 de 3</x:v>
      </x:c>
      <x:c r="M189" s="87" t="str">
        <x:f>(COUNTIFS('Calendário'!$B$9:$B$214,$C189,'Calendário'!$J$9:$J$214,"Publicado")+COUNTIFS('Calendário'!$B$9:$B$214,$C189,'Calendário'!$K$9:$K$214,"Publicado")+COUNTIFS('Calendário'!$B$9:$B$214,$C189,'Calendário'!$M$9:$M$214,"Publicado")+COUNTIFS('Calendário'!$B$9:$B$214,$C189,'Calendário'!$N$9:$N$214,"Publicado")+COUNTIFS('Calendário'!$B$9:$B$214,$C189,'Calendário'!$O$9:$O$214,"Publicado"))&amp;" de "&amp;(5-COUNTIFS('Calendário'!$B$9:$B$214,$C189,'Calendário'!$N$9:$N$214,"Não se aplica")-COUNTIFS('Calendário'!$B$9:$B$214,$C189,'Calendário'!$O$9:$O$214,"Não se aplica"))</x:f>
        <x:v>0 de 3</x:v>
      </x:c>
      <x:c r="N189" s="75"/>
      <x:c r="O189" s="75"/>
      <x:c r="P189" s="61"/>
    </x:row>
    <x:row r="190" ht="57" customHeight="1">
      <x:c r="A190" s="61"/>
      <x:c r="B190" s="69" t="str">
        <x:f>TEXT(D190,"yyyy-mm")</x:f>
        <x:v>2027-07</x:v>
      </x:c>
      <x:c r="C190" s="72" t="str">
        <x:v>P182</x:v>
      </x:c>
      <x:c r="D190" s="90" t="n">
        <x:f>INDEX('Calendário'!$C$9:$C$214,MATCH($C190,'Calendário'!$B$9:$B$214,0))</x:f>
        <x:v>46596.5</x:v>
      </x:c>
      <x:c r="E190" s="69" t="str">
        <x:f>INDEX('Calendário'!$F$9:$F$214,MATCH($C190,'Calendário'!$B$9:$B$214,0))</x:f>
        <x:v>Reel</x:v>
      </x:c>
      <x:c r="F190" s="69" t="str">
        <x:f>INDEX('Calendário'!$G$9:$G$214,MATCH($C190,'Calendário'!$B$9:$B$214,0))</x:f>
        <x:v>Exemplo prático: revisão dos acordos.</x:v>
      </x:c>
      <x:c r="G190" s="78" t="str">
        <x:f>IF(INDEX('Calendário'!$P$9:$P$214,MATCH($C190,'Calendário'!$B$9:$B$214,0))="","",INDEX('Calendário'!$P$9:$P$214,MATCH($C190,'Calendário'!$B$9:$B$214,0)))</x:f>
      </x:c>
      <x:c r="H190" s="75" t="str">
        <x:v>Não iniciada</x:v>
      </x:c>
      <x:c r="I190" s="75" t="str">
        <x:v>Não iniciado</x:v>
      </x:c>
      <x:c r="J190" s="75" t="str">
        <x:v>Pendente</x:v>
      </x:c>
      <x:c r="K190" s="75" t="str">
        <x:v>Pendente</x:v>
      </x:c>
      <x:c r="L190" s="87" t="str">
        <x:f>(COUNTIFS('Calendário'!$B$9:$B$214,$C190,'Calendário'!$J$9:$J$214,"Agendado")+COUNTIFS('Calendário'!$B$9:$B$214,$C190,'Calendário'!$K$9:$K$214,"Agendado")+COUNTIFS('Calendário'!$B$9:$B$214,$C190,'Calendário'!$M$9:$M$214,"Agendado")+COUNTIFS('Calendário'!$B$9:$B$214,$C190,'Calendário'!$N$9:$N$214,"Agendado")+COUNTIFS('Calendário'!$B$9:$B$214,$C190,'Calendário'!$O$9:$O$214,"Agendado")+COUNTIFS('Calendário'!$B$9:$B$214,$C190,'Calendário'!$J$9:$J$214,"Publicado")+COUNTIFS('Calendário'!$B$9:$B$214,$C190,'Calendário'!$K$9:$K$214,"Publicado")+COUNTIFS('Calendário'!$B$9:$B$214,$C190,'Calendário'!$M$9:$M$214,"Publicado")+COUNTIFS('Calendário'!$B$9:$B$214,$C190,'Calendário'!$N$9:$N$214,"Publicado")+COUNTIFS('Calendário'!$B$9:$B$214,$C190,'Calendário'!$O$9:$O$214,"Publicado"))&amp;" de "&amp;(5-COUNTIFS('Calendário'!$B$9:$B$214,$C190,'Calendário'!$N$9:$N$214,"Não se aplica")-COUNTIFS('Calendário'!$B$9:$B$214,$C190,'Calendário'!$O$9:$O$214,"Não se aplica"))</x:f>
        <x:v>0 de 5</x:v>
      </x:c>
      <x:c r="M190" s="87" t="str">
        <x:f>(COUNTIFS('Calendário'!$B$9:$B$214,$C190,'Calendário'!$J$9:$J$214,"Publicado")+COUNTIFS('Calendário'!$B$9:$B$214,$C190,'Calendário'!$K$9:$K$214,"Publicado")+COUNTIFS('Calendário'!$B$9:$B$214,$C190,'Calendário'!$M$9:$M$214,"Publicado")+COUNTIFS('Calendário'!$B$9:$B$214,$C190,'Calendário'!$N$9:$N$214,"Publicado")+COUNTIFS('Calendário'!$B$9:$B$214,$C190,'Calendário'!$O$9:$O$214,"Publicado"))&amp;" de "&amp;(5-COUNTIFS('Calendário'!$B$9:$B$214,$C190,'Calendário'!$N$9:$N$214,"Não se aplica")-COUNTIFS('Calendário'!$B$9:$B$214,$C190,'Calendário'!$O$9:$O$214,"Não se aplica"))</x:f>
        <x:v>0 de 5</x:v>
      </x:c>
      <x:c r="N190" s="75"/>
      <x:c r="O190" s="75"/>
      <x:c r="P190" s="61"/>
    </x:row>
    <x:row r="191" ht="57" customHeight="1">
      <x:c r="A191" s="61"/>
      <x:c r="B191" s="69" t="str">
        <x:f>TEXT(D191,"yyyy-mm")</x:f>
        <x:v>2027-07</x:v>
      </x:c>
      <x:c r="C191" s="72" t="str">
        <x:v>P183</x:v>
      </x:c>
      <x:c r="D191" s="90" t="n">
        <x:f>INDEX('Calendário'!$C$9:$C$214,MATCH($C191,'Calendário'!$B$9:$B$214,0))</x:f>
        <x:v>46598.5</x:v>
      </x:c>
      <x:c r="E191" s="69" t="str">
        <x:f>INDEX('Calendário'!$F$9:$F$214,MATCH($C191,'Calendário'!$B$9:$B$214,0))</x:f>
        <x:v>Carrossel</x:v>
      </x:c>
      <x:c r="F191" s="69" t="str">
        <x:f>INDEX('Calendário'!$G$9:$G$214,MATCH($C191,'Calendário'!$B$9:$B$214,0))</x:f>
        <x:v>Checklist: revisão dos acordos.</x:v>
      </x:c>
      <x:c r="G191" s="78" t="str">
        <x:f>IF(INDEX('Calendário'!$P$9:$P$214,MATCH($C191,'Calendário'!$B$9:$B$214,0))="","",INDEX('Calendário'!$P$9:$P$214,MATCH($C191,'Calendário'!$B$9:$B$214,0)))</x:f>
      </x:c>
      <x:c r="H191" s="75" t="str">
        <x:v>Não iniciada</x:v>
      </x:c>
      <x:c r="I191" s="75" t="str">
        <x:v>Não se aplica</x:v>
      </x:c>
      <x:c r="J191" s="75" t="str">
        <x:v>Pendente</x:v>
      </x:c>
      <x:c r="K191" s="75" t="str">
        <x:v>Pendente</x:v>
      </x:c>
      <x:c r="L191" s="87" t="str">
        <x:f>(COUNTIFS('Calendário'!$B$9:$B$214,$C191,'Calendário'!$J$9:$J$214,"Agendado")+COUNTIFS('Calendário'!$B$9:$B$214,$C191,'Calendário'!$K$9:$K$214,"Agendado")+COUNTIFS('Calendário'!$B$9:$B$214,$C191,'Calendário'!$M$9:$M$214,"Agendado")+COUNTIFS('Calendário'!$B$9:$B$214,$C191,'Calendário'!$N$9:$N$214,"Agendado")+COUNTIFS('Calendário'!$B$9:$B$214,$C191,'Calendário'!$O$9:$O$214,"Agendado")+COUNTIFS('Calendário'!$B$9:$B$214,$C191,'Calendário'!$J$9:$J$214,"Publicado")+COUNTIFS('Calendário'!$B$9:$B$214,$C191,'Calendário'!$K$9:$K$214,"Publicado")+COUNTIFS('Calendário'!$B$9:$B$214,$C191,'Calendário'!$M$9:$M$214,"Publicado")+COUNTIFS('Calendário'!$B$9:$B$214,$C191,'Calendário'!$N$9:$N$214,"Publicado")+COUNTIFS('Calendário'!$B$9:$B$214,$C191,'Calendário'!$O$9:$O$214,"Publicado"))&amp;" de "&amp;(5-COUNTIFS('Calendário'!$B$9:$B$214,$C191,'Calendário'!$N$9:$N$214,"Não se aplica")-COUNTIFS('Calendário'!$B$9:$B$214,$C191,'Calendário'!$O$9:$O$214,"Não se aplica"))</x:f>
        <x:v>0 de 3</x:v>
      </x:c>
      <x:c r="M191" s="87" t="str">
        <x:f>(COUNTIFS('Calendário'!$B$9:$B$214,$C191,'Calendário'!$J$9:$J$214,"Publicado")+COUNTIFS('Calendário'!$B$9:$B$214,$C191,'Calendário'!$K$9:$K$214,"Publicado")+COUNTIFS('Calendário'!$B$9:$B$214,$C191,'Calendário'!$M$9:$M$214,"Publicado")+COUNTIFS('Calendário'!$B$9:$B$214,$C191,'Calendário'!$N$9:$N$214,"Publicado")+COUNTIFS('Calendário'!$B$9:$B$214,$C191,'Calendário'!$O$9:$O$214,"Publicado"))&amp;" de "&amp;(5-COUNTIFS('Calendário'!$B$9:$B$214,$C191,'Calendário'!$N$9:$N$214,"Não se aplica")-COUNTIFS('Calendário'!$B$9:$B$214,$C191,'Calendário'!$O$9:$O$214,"Não se aplica"))</x:f>
        <x:v>0 de 3</x:v>
      </x:c>
      <x:c r="N191" s="75"/>
      <x:c r="O191" s="75"/>
      <x:c r="P191" s="61"/>
    </x:row>
    <x:row r="192" ht="57" customHeight="1">
      <x:c r="A192" s="61"/>
      <x:c r="B192" s="69" t="str">
        <x:f>TEXT(D192,"yyyy-mm")</x:f>
        <x:v>2027-07</x:v>
      </x:c>
      <x:c r="C192" s="72" t="str">
        <x:v>P184</x:v>
      </x:c>
      <x:c r="D192" s="90" t="n">
        <x:f>INDEX('Calendário'!$C$9:$C$214,MATCH($C192,'Calendário'!$B$9:$B$214,0))</x:f>
        <x:v>46599.5</x:v>
      </x:c>
      <x:c r="E192" s="69" t="str">
        <x:f>INDEX('Calendário'!$F$9:$F$214,MATCH($C192,'Calendário'!$B$9:$B$214,0))</x:f>
        <x:v>Estático</x:v>
      </x:c>
      <x:c r="F192" s="69" t="str">
        <x:f>INDEX('Calendário'!$G$9:$G$214,MATCH($C192,'Calendário'!$B$9:$B$214,0))</x:f>
        <x:v>Qual acordo da sua equipe precisa ser
revisto?</x:v>
      </x:c>
      <x:c r="G192" s="78" t="str">
        <x:f>IF(INDEX('Calendário'!$P$9:$P$214,MATCH($C192,'Calendário'!$B$9:$B$214,0))="","",INDEX('Calendário'!$P$9:$P$214,MATCH($C192,'Calendário'!$B$9:$B$214,0)))</x:f>
      </x:c>
      <x:c r="H192" s="75" t="str">
        <x:v>Não iniciada</x:v>
      </x:c>
      <x:c r="I192" s="75" t="str">
        <x:v>Não se aplica</x:v>
      </x:c>
      <x:c r="J192" s="75" t="str">
        <x:v>Pendente</x:v>
      </x:c>
      <x:c r="K192" s="75" t="str">
        <x:v>Pendente</x:v>
      </x:c>
      <x:c r="L192" s="87" t="str">
        <x:f>(COUNTIFS('Calendário'!$B$9:$B$214,$C192,'Calendário'!$J$9:$J$214,"Agendado")+COUNTIFS('Calendário'!$B$9:$B$214,$C192,'Calendário'!$K$9:$K$214,"Agendado")+COUNTIFS('Calendário'!$B$9:$B$214,$C192,'Calendário'!$M$9:$M$214,"Agendado")+COUNTIFS('Calendário'!$B$9:$B$214,$C192,'Calendário'!$N$9:$N$214,"Agendado")+COUNTIFS('Calendário'!$B$9:$B$214,$C192,'Calendário'!$O$9:$O$214,"Agendado")+COUNTIFS('Calendário'!$B$9:$B$214,$C192,'Calendário'!$J$9:$J$214,"Publicado")+COUNTIFS('Calendário'!$B$9:$B$214,$C192,'Calendário'!$K$9:$K$214,"Publicado")+COUNTIFS('Calendário'!$B$9:$B$214,$C192,'Calendário'!$M$9:$M$214,"Publicado")+COUNTIFS('Calendário'!$B$9:$B$214,$C192,'Calendário'!$N$9:$N$214,"Publicado")+COUNTIFS('Calendário'!$B$9:$B$214,$C192,'Calendário'!$O$9:$O$214,"Publicado"))&amp;" de "&amp;(5-COUNTIFS('Calendário'!$B$9:$B$214,$C192,'Calendário'!$N$9:$N$214,"Não se aplica")-COUNTIFS('Calendário'!$B$9:$B$214,$C192,'Calendário'!$O$9:$O$214,"Não se aplica"))</x:f>
        <x:v>0 de 3</x:v>
      </x:c>
      <x:c r="M192" s="87" t="str">
        <x:f>(COUNTIFS('Calendário'!$B$9:$B$214,$C192,'Calendário'!$J$9:$J$214,"Publicado")+COUNTIFS('Calendário'!$B$9:$B$214,$C192,'Calendário'!$K$9:$K$214,"Publicado")+COUNTIFS('Calendário'!$B$9:$B$214,$C192,'Calendário'!$M$9:$M$214,"Publicado")+COUNTIFS('Calendário'!$B$9:$B$214,$C192,'Calendário'!$N$9:$N$214,"Publicado")+COUNTIFS('Calendário'!$B$9:$B$214,$C192,'Calendário'!$O$9:$O$214,"Publicado"))&amp;" de "&amp;(5-COUNTIFS('Calendário'!$B$9:$B$214,$C192,'Calendário'!$N$9:$N$214,"Não se aplica")-COUNTIFS('Calendário'!$B$9:$B$214,$C192,'Calendário'!$O$9:$O$214,"Não se aplica"))</x:f>
        <x:v>0 de 3</x:v>
      </x:c>
      <x:c r="N192" s="75"/>
      <x:c r="O192" s="75"/>
      <x:c r="P192" s="61"/>
    </x:row>
    <x:row r="193" ht="57" customHeight="1">
      <x:c r="A193" s="61"/>
      <x:c r="B193" s="69" t="str">
        <x:f>TEXT(D193,"yyyy-mm")</x:f>
        <x:v>2027-08</x:v>
      </x:c>
      <x:c r="C193" s="72" t="str">
        <x:v>P185</x:v>
      </x:c>
      <x:c r="D193" s="90" t="n">
        <x:f>INDEX('Calendário'!$C$9:$C$214,MATCH($C193,'Calendário'!$B$9:$B$214,0))</x:f>
        <x:v>46601.5</x:v>
      </x:c>
      <x:c r="E193" s="69" t="str">
        <x:f>INDEX('Calendário'!$F$9:$F$214,MATCH($C193,'Calendário'!$B$9:$B$214,0))</x:f>
        <x:v>Carrossel</x:v>
      </x:c>
      <x:c r="F193" s="69" t="str">
        <x:f>INDEX('Calendário'!$G$9:$G$214,MATCH($C193,'Calendário'!$B$9:$B$214,0))</x:f>
        <x:v>Como contar um resultado com contexto?</x:v>
      </x:c>
      <x:c r="G193" s="78" t="str">
        <x:f>IF(INDEX('Calendário'!$P$9:$P$214,MATCH($C193,'Calendário'!$B$9:$B$214,0))="","",INDEX('Calendário'!$P$9:$P$214,MATCH($C193,'Calendário'!$B$9:$B$214,0)))</x:f>
      </x:c>
      <x:c r="H193" s="75" t="str">
        <x:v>Não iniciada</x:v>
      </x:c>
      <x:c r="I193" s="75" t="str">
        <x:v>Não se aplica</x:v>
      </x:c>
      <x:c r="J193" s="75" t="str">
        <x:v>Pendente</x:v>
      </x:c>
      <x:c r="K193" s="75" t="str">
        <x:v>Pendente</x:v>
      </x:c>
      <x:c r="L193" s="87" t="str">
        <x:f>(COUNTIFS('Calendário'!$B$9:$B$214,$C193,'Calendário'!$J$9:$J$214,"Agendado")+COUNTIFS('Calendário'!$B$9:$B$214,$C193,'Calendário'!$K$9:$K$214,"Agendado")+COUNTIFS('Calendário'!$B$9:$B$214,$C193,'Calendário'!$M$9:$M$214,"Agendado")+COUNTIFS('Calendário'!$B$9:$B$214,$C193,'Calendário'!$N$9:$N$214,"Agendado")+COUNTIFS('Calendário'!$B$9:$B$214,$C193,'Calendário'!$O$9:$O$214,"Agendado")+COUNTIFS('Calendário'!$B$9:$B$214,$C193,'Calendário'!$J$9:$J$214,"Publicado")+COUNTIFS('Calendário'!$B$9:$B$214,$C193,'Calendário'!$K$9:$K$214,"Publicado")+COUNTIFS('Calendário'!$B$9:$B$214,$C193,'Calendário'!$M$9:$M$214,"Publicado")+COUNTIFS('Calendário'!$B$9:$B$214,$C193,'Calendário'!$N$9:$N$214,"Publicado")+COUNTIFS('Calendário'!$B$9:$B$214,$C193,'Calendário'!$O$9:$O$214,"Publicado"))&amp;" de "&amp;(5-COUNTIFS('Calendário'!$B$9:$B$214,$C193,'Calendário'!$N$9:$N$214,"Não se aplica")-COUNTIFS('Calendário'!$B$9:$B$214,$C193,'Calendário'!$O$9:$O$214,"Não se aplica"))</x:f>
        <x:v>0 de 3</x:v>
      </x:c>
      <x:c r="M193" s="87" t="str">
        <x:f>(COUNTIFS('Calendário'!$B$9:$B$214,$C193,'Calendário'!$J$9:$J$214,"Publicado")+COUNTIFS('Calendário'!$B$9:$B$214,$C193,'Calendário'!$K$9:$K$214,"Publicado")+COUNTIFS('Calendário'!$B$9:$B$214,$C193,'Calendário'!$M$9:$M$214,"Publicado")+COUNTIFS('Calendário'!$B$9:$B$214,$C193,'Calendário'!$N$9:$N$214,"Publicado")+COUNTIFS('Calendário'!$B$9:$B$214,$C193,'Calendário'!$O$9:$O$214,"Publicado"))&amp;" de "&amp;(5-COUNTIFS('Calendário'!$B$9:$B$214,$C193,'Calendário'!$N$9:$N$214,"Não se aplica")-COUNTIFS('Calendário'!$B$9:$B$214,$C193,'Calendário'!$O$9:$O$214,"Não se aplica"))</x:f>
        <x:v>0 de 3</x:v>
      </x:c>
      <x:c r="N193" s="75"/>
      <x:c r="O193" s="75"/>
      <x:c r="P193" s="61"/>
    </x:row>
    <x:row r="194" ht="57" customHeight="1">
      <x:c r="A194" s="61"/>
      <x:c r="B194" s="69" t="str">
        <x:f>TEXT(D194,"yyyy-mm")</x:f>
        <x:v>2027-08</x:v>
      </x:c>
      <x:c r="C194" s="72" t="str">
        <x:v>P186</x:v>
      </x:c>
      <x:c r="D194" s="90" t="n">
        <x:f>INDEX('Calendário'!$C$9:$C$214,MATCH($C194,'Calendário'!$B$9:$B$214,0))</x:f>
        <x:v>46603.5</x:v>
      </x:c>
      <x:c r="E194" s="69" t="str">
        <x:f>INDEX('Calendário'!$F$9:$F$214,MATCH($C194,'Calendário'!$B$9:$B$214,0))</x:f>
        <x:v>Reel</x:v>
      </x:c>
      <x:c r="F194" s="69" t="str">
        <x:f>INDEX('Calendário'!$G$9:$G$214,MATCH($C194,'Calendário'!$B$9:$B$214,0))</x:f>
        <x:v>Exemplo prático: evidências de resultado.</x:v>
      </x:c>
      <x:c r="G194" s="78" t="str">
        <x:f>IF(INDEX('Calendário'!$P$9:$P$214,MATCH($C194,'Calendário'!$B$9:$B$214,0))="","",INDEX('Calendário'!$P$9:$P$214,MATCH($C194,'Calendário'!$B$9:$B$214,0)))</x:f>
      </x:c>
      <x:c r="H194" s="75" t="str">
        <x:v>Não iniciada</x:v>
      </x:c>
      <x:c r="I194" s="75" t="str">
        <x:v>Não iniciado</x:v>
      </x:c>
      <x:c r="J194" s="75" t="str">
        <x:v>Pendente</x:v>
      </x:c>
      <x:c r="K194" s="75" t="str">
        <x:v>Pendente</x:v>
      </x:c>
      <x:c r="L194" s="87" t="str">
        <x:f>(COUNTIFS('Calendário'!$B$9:$B$214,$C194,'Calendário'!$J$9:$J$214,"Agendado")+COUNTIFS('Calendário'!$B$9:$B$214,$C194,'Calendário'!$K$9:$K$214,"Agendado")+COUNTIFS('Calendário'!$B$9:$B$214,$C194,'Calendário'!$M$9:$M$214,"Agendado")+COUNTIFS('Calendário'!$B$9:$B$214,$C194,'Calendário'!$N$9:$N$214,"Agendado")+COUNTIFS('Calendário'!$B$9:$B$214,$C194,'Calendário'!$O$9:$O$214,"Agendado")+COUNTIFS('Calendário'!$B$9:$B$214,$C194,'Calendário'!$J$9:$J$214,"Publicado")+COUNTIFS('Calendário'!$B$9:$B$214,$C194,'Calendário'!$K$9:$K$214,"Publicado")+COUNTIFS('Calendário'!$B$9:$B$214,$C194,'Calendário'!$M$9:$M$214,"Publicado")+COUNTIFS('Calendário'!$B$9:$B$214,$C194,'Calendário'!$N$9:$N$214,"Publicado")+COUNTIFS('Calendário'!$B$9:$B$214,$C194,'Calendário'!$O$9:$O$214,"Publicado"))&amp;" de "&amp;(5-COUNTIFS('Calendário'!$B$9:$B$214,$C194,'Calendário'!$N$9:$N$214,"Não se aplica")-COUNTIFS('Calendário'!$B$9:$B$214,$C194,'Calendário'!$O$9:$O$214,"Não se aplica"))</x:f>
        <x:v>0 de 5</x:v>
      </x:c>
      <x:c r="M194" s="87" t="str">
        <x:f>(COUNTIFS('Calendário'!$B$9:$B$214,$C194,'Calendário'!$J$9:$J$214,"Publicado")+COUNTIFS('Calendário'!$B$9:$B$214,$C194,'Calendário'!$K$9:$K$214,"Publicado")+COUNTIFS('Calendário'!$B$9:$B$214,$C194,'Calendário'!$M$9:$M$214,"Publicado")+COUNTIFS('Calendário'!$B$9:$B$214,$C194,'Calendário'!$N$9:$N$214,"Publicado")+COUNTIFS('Calendário'!$B$9:$B$214,$C194,'Calendário'!$O$9:$O$214,"Publicado"))&amp;" de "&amp;(5-COUNTIFS('Calendário'!$B$9:$B$214,$C194,'Calendário'!$N$9:$N$214,"Não se aplica")-COUNTIFS('Calendário'!$B$9:$B$214,$C194,'Calendário'!$O$9:$O$214,"Não se aplica"))</x:f>
        <x:v>0 de 5</x:v>
      </x:c>
      <x:c r="N194" s="75"/>
      <x:c r="O194" s="75"/>
      <x:c r="P194" s="61"/>
    </x:row>
    <x:row r="195" ht="57" customHeight="1">
      <x:c r="A195" s="61"/>
      <x:c r="B195" s="69" t="str">
        <x:f>TEXT(D195,"yyyy-mm")</x:f>
        <x:v>2027-08</x:v>
      </x:c>
      <x:c r="C195" s="72" t="str">
        <x:v>P187</x:v>
      </x:c>
      <x:c r="D195" s="90" t="n">
        <x:f>INDEX('Calendário'!$C$9:$C$214,MATCH($C195,'Calendário'!$B$9:$B$214,0))</x:f>
        <x:v>46605.5</x:v>
      </x:c>
      <x:c r="E195" s="69" t="str">
        <x:f>INDEX('Calendário'!$F$9:$F$214,MATCH($C195,'Calendário'!$B$9:$B$214,0))</x:f>
        <x:v>Carrossel</x:v>
      </x:c>
      <x:c r="F195" s="69" t="str">
        <x:f>INDEX('Calendário'!$G$9:$G$214,MATCH($C195,'Calendário'!$B$9:$B$214,0))</x:f>
        <x:v>Checklist: evidências de resultado.</x:v>
      </x:c>
      <x:c r="G195" s="78" t="str">
        <x:f>IF(INDEX('Calendário'!$P$9:$P$214,MATCH($C195,'Calendário'!$B$9:$B$214,0))="","",INDEX('Calendário'!$P$9:$P$214,MATCH($C195,'Calendário'!$B$9:$B$214,0)))</x:f>
      </x:c>
      <x:c r="H195" s="75" t="str">
        <x:v>Não iniciada</x:v>
      </x:c>
      <x:c r="I195" s="75" t="str">
        <x:v>Não se aplica</x:v>
      </x:c>
      <x:c r="J195" s="75" t="str">
        <x:v>Pendente</x:v>
      </x:c>
      <x:c r="K195" s="75" t="str">
        <x:v>Pendente</x:v>
      </x:c>
      <x:c r="L195" s="87" t="str">
        <x:f>(COUNTIFS('Calendário'!$B$9:$B$214,$C195,'Calendário'!$J$9:$J$214,"Agendado")+COUNTIFS('Calendário'!$B$9:$B$214,$C195,'Calendário'!$K$9:$K$214,"Agendado")+COUNTIFS('Calendário'!$B$9:$B$214,$C195,'Calendário'!$M$9:$M$214,"Agendado")+COUNTIFS('Calendário'!$B$9:$B$214,$C195,'Calendário'!$N$9:$N$214,"Agendado")+COUNTIFS('Calendário'!$B$9:$B$214,$C195,'Calendário'!$O$9:$O$214,"Agendado")+COUNTIFS('Calendário'!$B$9:$B$214,$C195,'Calendário'!$J$9:$J$214,"Publicado")+COUNTIFS('Calendário'!$B$9:$B$214,$C195,'Calendário'!$K$9:$K$214,"Publicado")+COUNTIFS('Calendário'!$B$9:$B$214,$C195,'Calendário'!$M$9:$M$214,"Publicado")+COUNTIFS('Calendário'!$B$9:$B$214,$C195,'Calendário'!$N$9:$N$214,"Publicado")+COUNTIFS('Calendário'!$B$9:$B$214,$C195,'Calendário'!$O$9:$O$214,"Publicado"))&amp;" de "&amp;(5-COUNTIFS('Calendário'!$B$9:$B$214,$C195,'Calendário'!$N$9:$N$214,"Não se aplica")-COUNTIFS('Calendário'!$B$9:$B$214,$C195,'Calendário'!$O$9:$O$214,"Não se aplica"))</x:f>
        <x:v>0 de 3</x:v>
      </x:c>
      <x:c r="M195" s="87" t="str">
        <x:f>(COUNTIFS('Calendário'!$B$9:$B$214,$C195,'Calendário'!$J$9:$J$214,"Publicado")+COUNTIFS('Calendário'!$B$9:$B$214,$C195,'Calendário'!$K$9:$K$214,"Publicado")+COUNTIFS('Calendário'!$B$9:$B$214,$C195,'Calendário'!$M$9:$M$214,"Publicado")+COUNTIFS('Calendário'!$B$9:$B$214,$C195,'Calendário'!$N$9:$N$214,"Publicado")+COUNTIFS('Calendário'!$B$9:$B$214,$C195,'Calendário'!$O$9:$O$214,"Publicado"))&amp;" de "&amp;(5-COUNTIFS('Calendário'!$B$9:$B$214,$C195,'Calendário'!$N$9:$N$214,"Não se aplica")-COUNTIFS('Calendário'!$B$9:$B$214,$C195,'Calendário'!$O$9:$O$214,"Não se aplica"))</x:f>
        <x:v>0 de 3</x:v>
      </x:c>
      <x:c r="N195" s="75"/>
      <x:c r="O195" s="75"/>
      <x:c r="P195" s="61"/>
    </x:row>
    <x:row r="196" ht="57" customHeight="1">
      <x:c r="A196" s="61"/>
      <x:c r="B196" s="69" t="str">
        <x:f>TEXT(D196,"yyyy-mm")</x:f>
        <x:v>2027-08</x:v>
      </x:c>
      <x:c r="C196" s="72" t="str">
        <x:v>P188</x:v>
      </x:c>
      <x:c r="D196" s="90" t="n">
        <x:f>INDEX('Calendário'!$C$9:$C$214,MATCH($C196,'Calendário'!$B$9:$B$214,0))</x:f>
        <x:v>46606.5</x:v>
      </x:c>
      <x:c r="E196" s="69" t="str">
        <x:f>INDEX('Calendário'!$F$9:$F$214,MATCH($C196,'Calendário'!$B$9:$B$214,0))</x:f>
        <x:v>Estático</x:v>
      </x:c>
      <x:c r="F196" s="69" t="str">
        <x:f>INDEX('Calendário'!$G$9:$G$214,MATCH($C196,'Calendário'!$B$9:$B$214,0))</x:f>
        <x:v>Que evidência torna um caso útil para
você?</x:v>
      </x:c>
      <x:c r="G196" s="78" t="str">
        <x:f>IF(INDEX('Calendário'!$P$9:$P$214,MATCH($C196,'Calendário'!$B$9:$B$214,0))="","",INDEX('Calendário'!$P$9:$P$214,MATCH($C196,'Calendário'!$B$9:$B$214,0)))</x:f>
      </x:c>
      <x:c r="H196" s="75" t="str">
        <x:v>Não iniciada</x:v>
      </x:c>
      <x:c r="I196" s="75" t="str">
        <x:v>Não se aplica</x:v>
      </x:c>
      <x:c r="J196" s="75" t="str">
        <x:v>Pendente</x:v>
      </x:c>
      <x:c r="K196" s="75" t="str">
        <x:v>Pendente</x:v>
      </x:c>
      <x:c r="L196" s="87" t="str">
        <x:f>(COUNTIFS('Calendário'!$B$9:$B$214,$C196,'Calendário'!$J$9:$J$214,"Agendado")+COUNTIFS('Calendário'!$B$9:$B$214,$C196,'Calendário'!$K$9:$K$214,"Agendado")+COUNTIFS('Calendário'!$B$9:$B$214,$C196,'Calendário'!$M$9:$M$214,"Agendado")+COUNTIFS('Calendário'!$B$9:$B$214,$C196,'Calendário'!$N$9:$N$214,"Agendado")+COUNTIFS('Calendário'!$B$9:$B$214,$C196,'Calendário'!$O$9:$O$214,"Agendado")+COUNTIFS('Calendário'!$B$9:$B$214,$C196,'Calendário'!$J$9:$J$214,"Publicado")+COUNTIFS('Calendário'!$B$9:$B$214,$C196,'Calendário'!$K$9:$K$214,"Publicado")+COUNTIFS('Calendário'!$B$9:$B$214,$C196,'Calendário'!$M$9:$M$214,"Publicado")+COUNTIFS('Calendário'!$B$9:$B$214,$C196,'Calendário'!$N$9:$N$214,"Publicado")+COUNTIFS('Calendário'!$B$9:$B$214,$C196,'Calendário'!$O$9:$O$214,"Publicado"))&amp;" de "&amp;(5-COUNTIFS('Calendário'!$B$9:$B$214,$C196,'Calendário'!$N$9:$N$214,"Não se aplica")-COUNTIFS('Calendário'!$B$9:$B$214,$C196,'Calendário'!$O$9:$O$214,"Não se aplica"))</x:f>
        <x:v>0 de 3</x:v>
      </x:c>
      <x:c r="M196" s="87" t="str">
        <x:f>(COUNTIFS('Calendário'!$B$9:$B$214,$C196,'Calendário'!$J$9:$J$214,"Publicado")+COUNTIFS('Calendário'!$B$9:$B$214,$C196,'Calendário'!$K$9:$K$214,"Publicado")+COUNTIFS('Calendário'!$B$9:$B$214,$C196,'Calendário'!$M$9:$M$214,"Publicado")+COUNTIFS('Calendário'!$B$9:$B$214,$C196,'Calendário'!$N$9:$N$214,"Publicado")+COUNTIFS('Calendário'!$B$9:$B$214,$C196,'Calendário'!$O$9:$O$214,"Publicado"))&amp;" de "&amp;(5-COUNTIFS('Calendário'!$B$9:$B$214,$C196,'Calendário'!$N$9:$N$214,"Não se aplica")-COUNTIFS('Calendário'!$B$9:$B$214,$C196,'Calendário'!$O$9:$O$214,"Não se aplica"))</x:f>
        <x:v>0 de 3</x:v>
      </x:c>
      <x:c r="N196" s="75"/>
      <x:c r="O196" s="75"/>
      <x:c r="P196" s="61"/>
    </x:row>
    <x:row r="197" ht="57" customHeight="1">
      <x:c r="A197" s="61"/>
      <x:c r="B197" s="69" t="str">
        <x:f>TEXT(D197,"yyyy-mm")</x:f>
        <x:v>2027-08</x:v>
      </x:c>
      <x:c r="C197" s="72" t="str">
        <x:v>P189</x:v>
      </x:c>
      <x:c r="D197" s="90" t="n">
        <x:f>INDEX('Calendário'!$C$9:$C$214,MATCH($C197,'Calendário'!$B$9:$B$214,0))</x:f>
        <x:v>46608.5</x:v>
      </x:c>
      <x:c r="E197" s="69" t="str">
        <x:f>INDEX('Calendário'!$F$9:$F$214,MATCH($C197,'Calendário'!$B$9:$B$214,0))</x:f>
        <x:v>Carrossel</x:v>
      </x:c>
      <x:c r="F197" s="69" t="str">
        <x:f>INDEX('Calendário'!$G$9:$G$214,MATCH($C197,'Calendário'!$B$9:$B$214,0))</x:f>
        <x:v>Quais dúvidas merecem uma resposta
permanente?</x:v>
      </x:c>
      <x:c r="G197" s="78" t="str">
        <x:f>IF(INDEX('Calendário'!$P$9:$P$214,MATCH($C197,'Calendário'!$B$9:$B$214,0))="","",INDEX('Calendário'!$P$9:$P$214,MATCH($C197,'Calendário'!$B$9:$B$214,0)))</x:f>
      </x:c>
      <x:c r="H197" s="75" t="str">
        <x:v>Não iniciada</x:v>
      </x:c>
      <x:c r="I197" s="75" t="str">
        <x:v>Não se aplica</x:v>
      </x:c>
      <x:c r="J197" s="75" t="str">
        <x:v>Pendente</x:v>
      </x:c>
      <x:c r="K197" s="75" t="str">
        <x:v>Pendente</x:v>
      </x:c>
      <x:c r="L197" s="87" t="str">
        <x:f>(COUNTIFS('Calendário'!$B$9:$B$214,$C197,'Calendário'!$J$9:$J$214,"Agendado")+COUNTIFS('Calendário'!$B$9:$B$214,$C197,'Calendário'!$K$9:$K$214,"Agendado")+COUNTIFS('Calendário'!$B$9:$B$214,$C197,'Calendário'!$M$9:$M$214,"Agendado")+COUNTIFS('Calendário'!$B$9:$B$214,$C197,'Calendário'!$N$9:$N$214,"Agendado")+COUNTIFS('Calendário'!$B$9:$B$214,$C197,'Calendário'!$O$9:$O$214,"Agendado")+COUNTIFS('Calendário'!$B$9:$B$214,$C197,'Calendário'!$J$9:$J$214,"Publicado")+COUNTIFS('Calendário'!$B$9:$B$214,$C197,'Calendário'!$K$9:$K$214,"Publicado")+COUNTIFS('Calendário'!$B$9:$B$214,$C197,'Calendário'!$M$9:$M$214,"Publicado")+COUNTIFS('Calendário'!$B$9:$B$214,$C197,'Calendário'!$N$9:$N$214,"Publicado")+COUNTIFS('Calendário'!$B$9:$B$214,$C197,'Calendário'!$O$9:$O$214,"Publicado"))&amp;" de "&amp;(5-COUNTIFS('Calendário'!$B$9:$B$214,$C197,'Calendário'!$N$9:$N$214,"Não se aplica")-COUNTIFS('Calendário'!$B$9:$B$214,$C197,'Calendário'!$O$9:$O$214,"Não se aplica"))</x:f>
        <x:v>0 de 3</x:v>
      </x:c>
      <x:c r="M197" s="87" t="str">
        <x:f>(COUNTIFS('Calendário'!$B$9:$B$214,$C197,'Calendário'!$J$9:$J$214,"Publicado")+COUNTIFS('Calendário'!$B$9:$B$214,$C197,'Calendário'!$K$9:$K$214,"Publicado")+COUNTIFS('Calendário'!$B$9:$B$214,$C197,'Calendário'!$M$9:$M$214,"Publicado")+COUNTIFS('Calendário'!$B$9:$B$214,$C197,'Calendário'!$N$9:$N$214,"Publicado")+COUNTIFS('Calendário'!$B$9:$B$214,$C197,'Calendário'!$O$9:$O$214,"Publicado"))&amp;" de "&amp;(5-COUNTIFS('Calendário'!$B$9:$B$214,$C197,'Calendário'!$N$9:$N$214,"Não se aplica")-COUNTIFS('Calendário'!$B$9:$B$214,$C197,'Calendário'!$O$9:$O$214,"Não se aplica"))</x:f>
        <x:v>0 de 3</x:v>
      </x:c>
      <x:c r="N197" s="75"/>
      <x:c r="O197" s="75"/>
      <x:c r="P197" s="61"/>
    </x:row>
    <x:row r="198" ht="57" customHeight="1">
      <x:c r="A198" s="61"/>
      <x:c r="B198" s="69" t="str">
        <x:f>TEXT(D198,"yyyy-mm")</x:f>
        <x:v>2027-08</x:v>
      </x:c>
      <x:c r="C198" s="72" t="str">
        <x:v>P190</x:v>
      </x:c>
      <x:c r="D198" s="90" t="n">
        <x:f>INDEX('Calendário'!$C$9:$C$214,MATCH($C198,'Calendário'!$B$9:$B$214,0))</x:f>
        <x:v>46610.5</x:v>
      </x:c>
      <x:c r="E198" s="69" t="str">
        <x:f>INDEX('Calendário'!$F$9:$F$214,MATCH($C198,'Calendário'!$B$9:$B$214,0))</x:f>
        <x:v>Reel</x:v>
      </x:c>
      <x:c r="F198" s="69" t="str">
        <x:f>INDEX('Calendário'!$G$9:$G$214,MATCH($C198,'Calendário'!$B$9:$B$214,0))</x:f>
        <x:v>Exemplo prático: perguntas recorrentes.</x:v>
      </x:c>
      <x:c r="G198" s="78" t="str">
        <x:f>IF(INDEX('Calendário'!$P$9:$P$214,MATCH($C198,'Calendário'!$B$9:$B$214,0))="","",INDEX('Calendário'!$P$9:$P$214,MATCH($C198,'Calendário'!$B$9:$B$214,0)))</x:f>
      </x:c>
      <x:c r="H198" s="75" t="str">
        <x:v>Não iniciada</x:v>
      </x:c>
      <x:c r="I198" s="75" t="str">
        <x:v>Não iniciado</x:v>
      </x:c>
      <x:c r="J198" s="75" t="str">
        <x:v>Pendente</x:v>
      </x:c>
      <x:c r="K198" s="75" t="str">
        <x:v>Pendente</x:v>
      </x:c>
      <x:c r="L198" s="87" t="str">
        <x:f>(COUNTIFS('Calendário'!$B$9:$B$214,$C198,'Calendário'!$J$9:$J$214,"Agendado")+COUNTIFS('Calendário'!$B$9:$B$214,$C198,'Calendário'!$K$9:$K$214,"Agendado")+COUNTIFS('Calendário'!$B$9:$B$214,$C198,'Calendário'!$M$9:$M$214,"Agendado")+COUNTIFS('Calendário'!$B$9:$B$214,$C198,'Calendário'!$N$9:$N$214,"Agendado")+COUNTIFS('Calendário'!$B$9:$B$214,$C198,'Calendário'!$O$9:$O$214,"Agendado")+COUNTIFS('Calendário'!$B$9:$B$214,$C198,'Calendário'!$J$9:$J$214,"Publicado")+COUNTIFS('Calendário'!$B$9:$B$214,$C198,'Calendário'!$K$9:$K$214,"Publicado")+COUNTIFS('Calendário'!$B$9:$B$214,$C198,'Calendário'!$M$9:$M$214,"Publicado")+COUNTIFS('Calendário'!$B$9:$B$214,$C198,'Calendário'!$N$9:$N$214,"Publicado")+COUNTIFS('Calendário'!$B$9:$B$214,$C198,'Calendário'!$O$9:$O$214,"Publicado"))&amp;" de "&amp;(5-COUNTIFS('Calendário'!$B$9:$B$214,$C198,'Calendário'!$N$9:$N$214,"Não se aplica")-COUNTIFS('Calendário'!$B$9:$B$214,$C198,'Calendário'!$O$9:$O$214,"Não se aplica"))</x:f>
        <x:v>0 de 5</x:v>
      </x:c>
      <x:c r="M198" s="87" t="str">
        <x:f>(COUNTIFS('Calendário'!$B$9:$B$214,$C198,'Calendário'!$J$9:$J$214,"Publicado")+COUNTIFS('Calendário'!$B$9:$B$214,$C198,'Calendário'!$K$9:$K$214,"Publicado")+COUNTIFS('Calendário'!$B$9:$B$214,$C198,'Calendário'!$M$9:$M$214,"Publicado")+COUNTIFS('Calendário'!$B$9:$B$214,$C198,'Calendário'!$N$9:$N$214,"Publicado")+COUNTIFS('Calendário'!$B$9:$B$214,$C198,'Calendário'!$O$9:$O$214,"Publicado"))&amp;" de "&amp;(5-COUNTIFS('Calendário'!$B$9:$B$214,$C198,'Calendário'!$N$9:$N$214,"Não se aplica")-COUNTIFS('Calendário'!$B$9:$B$214,$C198,'Calendário'!$O$9:$O$214,"Não se aplica"))</x:f>
        <x:v>0 de 5</x:v>
      </x:c>
      <x:c r="N198" s="75"/>
      <x:c r="O198" s="75"/>
      <x:c r="P198" s="61"/>
    </x:row>
    <x:row r="199" ht="57" customHeight="1">
      <x:c r="A199" s="61"/>
      <x:c r="B199" s="69" t="str">
        <x:f>TEXT(D199,"yyyy-mm")</x:f>
        <x:v>2027-08</x:v>
      </x:c>
      <x:c r="C199" s="72" t="str">
        <x:v>P191</x:v>
      </x:c>
      <x:c r="D199" s="90" t="n">
        <x:f>INDEX('Calendário'!$C$9:$C$214,MATCH($C199,'Calendário'!$B$9:$B$214,0))</x:f>
        <x:v>46612.5</x:v>
      </x:c>
      <x:c r="E199" s="69" t="str">
        <x:f>INDEX('Calendário'!$F$9:$F$214,MATCH($C199,'Calendário'!$B$9:$B$214,0))</x:f>
        <x:v>Carrossel</x:v>
      </x:c>
      <x:c r="F199" s="69" t="str">
        <x:f>INDEX('Calendário'!$G$9:$G$214,MATCH($C199,'Calendário'!$B$9:$B$214,0))</x:f>
        <x:v>Checklist: perguntas recorrentes.</x:v>
      </x:c>
      <x:c r="G199" s="78" t="str">
        <x:f>IF(INDEX('Calendário'!$P$9:$P$214,MATCH($C199,'Calendário'!$B$9:$B$214,0))="","",INDEX('Calendário'!$P$9:$P$214,MATCH($C199,'Calendário'!$B$9:$B$214,0)))</x:f>
      </x:c>
      <x:c r="H199" s="75" t="str">
        <x:v>Não iniciada</x:v>
      </x:c>
      <x:c r="I199" s="75" t="str">
        <x:v>Não se aplica</x:v>
      </x:c>
      <x:c r="J199" s="75" t="str">
        <x:v>Pendente</x:v>
      </x:c>
      <x:c r="K199" s="75" t="str">
        <x:v>Pendente</x:v>
      </x:c>
      <x:c r="L199" s="87" t="str">
        <x:f>(COUNTIFS('Calendário'!$B$9:$B$214,$C199,'Calendário'!$J$9:$J$214,"Agendado")+COUNTIFS('Calendário'!$B$9:$B$214,$C199,'Calendário'!$K$9:$K$214,"Agendado")+COUNTIFS('Calendário'!$B$9:$B$214,$C199,'Calendário'!$M$9:$M$214,"Agendado")+COUNTIFS('Calendário'!$B$9:$B$214,$C199,'Calendário'!$N$9:$N$214,"Agendado")+COUNTIFS('Calendário'!$B$9:$B$214,$C199,'Calendário'!$O$9:$O$214,"Agendado")+COUNTIFS('Calendário'!$B$9:$B$214,$C199,'Calendário'!$J$9:$J$214,"Publicado")+COUNTIFS('Calendário'!$B$9:$B$214,$C199,'Calendário'!$K$9:$K$214,"Publicado")+COUNTIFS('Calendário'!$B$9:$B$214,$C199,'Calendário'!$M$9:$M$214,"Publicado")+COUNTIFS('Calendário'!$B$9:$B$214,$C199,'Calendário'!$N$9:$N$214,"Publicado")+COUNTIFS('Calendário'!$B$9:$B$214,$C199,'Calendário'!$O$9:$O$214,"Publicado"))&amp;" de "&amp;(5-COUNTIFS('Calendário'!$B$9:$B$214,$C199,'Calendário'!$N$9:$N$214,"Não se aplica")-COUNTIFS('Calendário'!$B$9:$B$214,$C199,'Calendário'!$O$9:$O$214,"Não se aplica"))</x:f>
        <x:v>0 de 3</x:v>
      </x:c>
      <x:c r="M199" s="87" t="str">
        <x:f>(COUNTIFS('Calendário'!$B$9:$B$214,$C199,'Calendário'!$J$9:$J$214,"Publicado")+COUNTIFS('Calendário'!$B$9:$B$214,$C199,'Calendário'!$K$9:$K$214,"Publicado")+COUNTIFS('Calendário'!$B$9:$B$214,$C199,'Calendário'!$M$9:$M$214,"Publicado")+COUNTIFS('Calendário'!$B$9:$B$214,$C199,'Calendário'!$N$9:$N$214,"Publicado")+COUNTIFS('Calendário'!$B$9:$B$214,$C199,'Calendário'!$O$9:$O$214,"Publicado"))&amp;" de "&amp;(5-COUNTIFS('Calendário'!$B$9:$B$214,$C199,'Calendário'!$N$9:$N$214,"Não se aplica")-COUNTIFS('Calendário'!$B$9:$B$214,$C199,'Calendário'!$O$9:$O$214,"Não se aplica"))</x:f>
        <x:v>0 de 3</x:v>
      </x:c>
      <x:c r="N199" s="75"/>
      <x:c r="O199" s="75"/>
      <x:c r="P199" s="61"/>
    </x:row>
    <x:row r="200" ht="57" customHeight="1">
      <x:c r="A200" s="61"/>
      <x:c r="B200" s="69" t="str">
        <x:f>TEXT(D200,"yyyy-mm")</x:f>
        <x:v>2027-08</x:v>
      </x:c>
      <x:c r="C200" s="72" t="str">
        <x:v>P192</x:v>
      </x:c>
      <x:c r="D200" s="90" t="n">
        <x:f>INDEX('Calendário'!$C$9:$C$214,MATCH($C200,'Calendário'!$B$9:$B$214,0))</x:f>
        <x:v>46613.5</x:v>
      </x:c>
      <x:c r="E200" s="69" t="str">
        <x:f>INDEX('Calendário'!$F$9:$F$214,MATCH($C200,'Calendário'!$B$9:$B$214,0))</x:f>
        <x:v>Estático</x:v>
      </x:c>
      <x:c r="F200" s="69" t="str">
        <x:f>INDEX('Calendário'!$G$9:$G$214,MATCH($C200,'Calendário'!$B$9:$B$214,0))</x:f>
        <x:v>Converse com a Arxis sobre perguntas
recorrentes.</x:v>
      </x:c>
      <x:c r="G200" s="78" t="str">
        <x:f>IF(INDEX('Calendário'!$P$9:$P$214,MATCH($C200,'Calendário'!$B$9:$B$214,0))="","",INDEX('Calendário'!$P$9:$P$214,MATCH($C200,'Calendário'!$B$9:$B$214,0)))</x:f>
      </x:c>
      <x:c r="H200" s="75" t="str">
        <x:v>Não iniciada</x:v>
      </x:c>
      <x:c r="I200" s="75" t="str">
        <x:v>Não se aplica</x:v>
      </x:c>
      <x:c r="J200" s="75" t="str">
        <x:v>Pendente</x:v>
      </x:c>
      <x:c r="K200" s="75" t="str">
        <x:v>Pendente</x:v>
      </x:c>
      <x:c r="L200" s="87" t="str">
        <x:f>(COUNTIFS('Calendário'!$B$9:$B$214,$C200,'Calendário'!$J$9:$J$214,"Agendado")+COUNTIFS('Calendário'!$B$9:$B$214,$C200,'Calendário'!$K$9:$K$214,"Agendado")+COUNTIFS('Calendário'!$B$9:$B$214,$C200,'Calendário'!$M$9:$M$214,"Agendado")+COUNTIFS('Calendário'!$B$9:$B$214,$C200,'Calendário'!$N$9:$N$214,"Agendado")+COUNTIFS('Calendário'!$B$9:$B$214,$C200,'Calendário'!$O$9:$O$214,"Agendado")+COUNTIFS('Calendário'!$B$9:$B$214,$C200,'Calendário'!$J$9:$J$214,"Publicado")+COUNTIFS('Calendário'!$B$9:$B$214,$C200,'Calendário'!$K$9:$K$214,"Publicado")+COUNTIFS('Calendário'!$B$9:$B$214,$C200,'Calendário'!$M$9:$M$214,"Publicado")+COUNTIFS('Calendário'!$B$9:$B$214,$C200,'Calendário'!$N$9:$N$214,"Publicado")+COUNTIFS('Calendário'!$B$9:$B$214,$C200,'Calendário'!$O$9:$O$214,"Publicado"))&amp;" de "&amp;(5-COUNTIFS('Calendário'!$B$9:$B$214,$C200,'Calendário'!$N$9:$N$214,"Não se aplica")-COUNTIFS('Calendário'!$B$9:$B$214,$C200,'Calendário'!$O$9:$O$214,"Não se aplica"))</x:f>
        <x:v>0 de 3</x:v>
      </x:c>
      <x:c r="M200" s="87" t="str">
        <x:f>(COUNTIFS('Calendário'!$B$9:$B$214,$C200,'Calendário'!$J$9:$J$214,"Publicado")+COUNTIFS('Calendário'!$B$9:$B$214,$C200,'Calendário'!$K$9:$K$214,"Publicado")+COUNTIFS('Calendário'!$B$9:$B$214,$C200,'Calendário'!$M$9:$M$214,"Publicado")+COUNTIFS('Calendário'!$B$9:$B$214,$C200,'Calendário'!$N$9:$N$214,"Publicado")+COUNTIFS('Calendário'!$B$9:$B$214,$C200,'Calendário'!$O$9:$O$214,"Publicado"))&amp;" de "&amp;(5-COUNTIFS('Calendário'!$B$9:$B$214,$C200,'Calendário'!$N$9:$N$214,"Não se aplica")-COUNTIFS('Calendário'!$B$9:$B$214,$C200,'Calendário'!$O$9:$O$214,"Não se aplica"))</x:f>
        <x:v>0 de 3</x:v>
      </x:c>
      <x:c r="N200" s="75"/>
      <x:c r="O200" s="75"/>
      <x:c r="P200" s="61"/>
    </x:row>
    <x:row r="201" ht="57" customHeight="1">
      <x:c r="A201" s="61"/>
      <x:c r="B201" s="69" t="str">
        <x:f>TEXT(D201,"yyyy-mm")</x:f>
        <x:v>2027-08</x:v>
      </x:c>
      <x:c r="C201" s="72" t="str">
        <x:v>P193</x:v>
      </x:c>
      <x:c r="D201" s="90" t="n">
        <x:f>INDEX('Calendário'!$C$9:$C$214,MATCH($C201,'Calendário'!$B$9:$B$214,0))</x:f>
        <x:v>46615.5</x:v>
      </x:c>
      <x:c r="E201" s="69" t="str">
        <x:f>INDEX('Calendário'!$F$9:$F$214,MATCH($C201,'Calendário'!$B$9:$B$214,0))</x:f>
        <x:v>Carrossel</x:v>
      </x:c>
      <x:c r="F201" s="69" t="str">
        <x:f>INDEX('Calendário'!$G$9:$G$214,MATCH($C201,'Calendário'!$B$9:$B$214,0))</x:f>
        <x:v>Qual sequência ajuda sua equipe a revisar
melhor?</x:v>
      </x:c>
      <x:c r="G201" s="78" t="str">
        <x:f>IF(INDEX('Calendário'!$P$9:$P$214,MATCH($C201,'Calendário'!$B$9:$B$214,0))="","",INDEX('Calendário'!$P$9:$P$214,MATCH($C201,'Calendário'!$B$9:$B$214,0)))</x:f>
      </x:c>
      <x:c r="H201" s="75" t="str">
        <x:v>Não iniciada</x:v>
      </x:c>
      <x:c r="I201" s="75" t="str">
        <x:v>Não se aplica</x:v>
      </x:c>
      <x:c r="J201" s="75" t="str">
        <x:v>Pendente</x:v>
      </x:c>
      <x:c r="K201" s="75" t="str">
        <x:v>Pendente</x:v>
      </x:c>
      <x:c r="L201" s="87" t="str">
        <x:f>(COUNTIFS('Calendário'!$B$9:$B$214,$C201,'Calendário'!$J$9:$J$214,"Agendado")+COUNTIFS('Calendário'!$B$9:$B$214,$C201,'Calendário'!$K$9:$K$214,"Agendado")+COUNTIFS('Calendário'!$B$9:$B$214,$C201,'Calendário'!$M$9:$M$214,"Agendado")+COUNTIFS('Calendário'!$B$9:$B$214,$C201,'Calendário'!$N$9:$N$214,"Agendado")+COUNTIFS('Calendário'!$B$9:$B$214,$C201,'Calendário'!$O$9:$O$214,"Agendado")+COUNTIFS('Calendário'!$B$9:$B$214,$C201,'Calendário'!$J$9:$J$214,"Publicado")+COUNTIFS('Calendário'!$B$9:$B$214,$C201,'Calendário'!$K$9:$K$214,"Publicado")+COUNTIFS('Calendário'!$B$9:$B$214,$C201,'Calendário'!$M$9:$M$214,"Publicado")+COUNTIFS('Calendário'!$B$9:$B$214,$C201,'Calendário'!$N$9:$N$214,"Publicado")+COUNTIFS('Calendário'!$B$9:$B$214,$C201,'Calendário'!$O$9:$O$214,"Publicado"))&amp;" de "&amp;(5-COUNTIFS('Calendário'!$B$9:$B$214,$C201,'Calendário'!$N$9:$N$214,"Não se aplica")-COUNTIFS('Calendário'!$B$9:$B$214,$C201,'Calendário'!$O$9:$O$214,"Não se aplica"))</x:f>
        <x:v>0 de 3</x:v>
      </x:c>
      <x:c r="M201" s="87" t="str">
        <x:f>(COUNTIFS('Calendário'!$B$9:$B$214,$C201,'Calendário'!$J$9:$J$214,"Publicado")+COUNTIFS('Calendário'!$B$9:$B$214,$C201,'Calendário'!$K$9:$K$214,"Publicado")+COUNTIFS('Calendário'!$B$9:$B$214,$C201,'Calendário'!$M$9:$M$214,"Publicado")+COUNTIFS('Calendário'!$B$9:$B$214,$C201,'Calendário'!$N$9:$N$214,"Publicado")+COUNTIFS('Calendário'!$B$9:$B$214,$C201,'Calendário'!$O$9:$O$214,"Publicado"))&amp;" de "&amp;(5-COUNTIFS('Calendário'!$B$9:$B$214,$C201,'Calendário'!$N$9:$N$214,"Não se aplica")-COUNTIFS('Calendário'!$B$9:$B$214,$C201,'Calendário'!$O$9:$O$214,"Não se aplica"))</x:f>
        <x:v>0 de 3</x:v>
      </x:c>
      <x:c r="N201" s="75"/>
      <x:c r="O201" s="75"/>
      <x:c r="P201" s="61"/>
    </x:row>
    <x:row r="202" ht="57" customHeight="1">
      <x:c r="A202" s="61"/>
      <x:c r="B202" s="69" t="str">
        <x:f>TEXT(D202,"yyyy-mm")</x:f>
        <x:v>2027-08</x:v>
      </x:c>
      <x:c r="C202" s="72" t="str">
        <x:v>P194</x:v>
      </x:c>
      <x:c r="D202" s="90" t="n">
        <x:f>INDEX('Calendário'!$C$9:$C$214,MATCH($C202,'Calendário'!$B$9:$B$214,0))</x:f>
        <x:v>46617.5</x:v>
      </x:c>
      <x:c r="E202" s="69" t="str">
        <x:f>INDEX('Calendário'!$F$9:$F$214,MATCH($C202,'Calendário'!$B$9:$B$214,0))</x:f>
        <x:v>Reel</x:v>
      </x:c>
      <x:c r="F202" s="69" t="str">
        <x:f>INDEX('Calendário'!$G$9:$G$214,MATCH($C202,'Calendário'!$B$9:$B$214,0))</x:f>
        <x:v>Exemplo prático: uma rotina para revisar.</x:v>
      </x:c>
      <x:c r="G202" s="78" t="str">
        <x:f>IF(INDEX('Calendário'!$P$9:$P$214,MATCH($C202,'Calendário'!$B$9:$B$214,0))="","",INDEX('Calendário'!$P$9:$P$214,MATCH($C202,'Calendário'!$B$9:$B$214,0)))</x:f>
      </x:c>
      <x:c r="H202" s="75" t="str">
        <x:v>Não iniciada</x:v>
      </x:c>
      <x:c r="I202" s="75" t="str">
        <x:v>Não iniciado</x:v>
      </x:c>
      <x:c r="J202" s="75" t="str">
        <x:v>Pendente</x:v>
      </x:c>
      <x:c r="K202" s="75" t="str">
        <x:v>Pendente</x:v>
      </x:c>
      <x:c r="L202" s="87" t="str">
        <x:f>(COUNTIFS('Calendário'!$B$9:$B$214,$C202,'Calendário'!$J$9:$J$214,"Agendado")+COUNTIFS('Calendário'!$B$9:$B$214,$C202,'Calendário'!$K$9:$K$214,"Agendado")+COUNTIFS('Calendário'!$B$9:$B$214,$C202,'Calendário'!$M$9:$M$214,"Agendado")+COUNTIFS('Calendário'!$B$9:$B$214,$C202,'Calendário'!$N$9:$N$214,"Agendado")+COUNTIFS('Calendário'!$B$9:$B$214,$C202,'Calendário'!$O$9:$O$214,"Agendado")+COUNTIFS('Calendário'!$B$9:$B$214,$C202,'Calendário'!$J$9:$J$214,"Publicado")+COUNTIFS('Calendário'!$B$9:$B$214,$C202,'Calendário'!$K$9:$K$214,"Publicado")+COUNTIFS('Calendário'!$B$9:$B$214,$C202,'Calendário'!$M$9:$M$214,"Publicado")+COUNTIFS('Calendário'!$B$9:$B$214,$C202,'Calendário'!$N$9:$N$214,"Publicado")+COUNTIFS('Calendário'!$B$9:$B$214,$C202,'Calendário'!$O$9:$O$214,"Publicado"))&amp;" de "&amp;(5-COUNTIFS('Calendário'!$B$9:$B$214,$C202,'Calendário'!$N$9:$N$214,"Não se aplica")-COUNTIFS('Calendário'!$B$9:$B$214,$C202,'Calendário'!$O$9:$O$214,"Não se aplica"))</x:f>
        <x:v>0 de 5</x:v>
      </x:c>
      <x:c r="M202" s="87" t="str">
        <x:f>(COUNTIFS('Calendário'!$B$9:$B$214,$C202,'Calendário'!$J$9:$J$214,"Publicado")+COUNTIFS('Calendário'!$B$9:$B$214,$C202,'Calendário'!$K$9:$K$214,"Publicado")+COUNTIFS('Calendário'!$B$9:$B$214,$C202,'Calendário'!$M$9:$M$214,"Publicado")+COUNTIFS('Calendário'!$B$9:$B$214,$C202,'Calendário'!$N$9:$N$214,"Publicado")+COUNTIFS('Calendário'!$B$9:$B$214,$C202,'Calendário'!$O$9:$O$214,"Publicado"))&amp;" de "&amp;(5-COUNTIFS('Calendário'!$B$9:$B$214,$C202,'Calendário'!$N$9:$N$214,"Não se aplica")-COUNTIFS('Calendário'!$B$9:$B$214,$C202,'Calendário'!$O$9:$O$214,"Não se aplica"))</x:f>
        <x:v>0 de 5</x:v>
      </x:c>
      <x:c r="N202" s="75"/>
      <x:c r="O202" s="75"/>
      <x:c r="P202" s="61"/>
    </x:row>
    <x:row r="203" ht="57" customHeight="1">
      <x:c r="A203" s="61"/>
      <x:c r="B203" s="69" t="str">
        <x:f>TEXT(D203,"yyyy-mm")</x:f>
        <x:v>2027-08</x:v>
      </x:c>
      <x:c r="C203" s="72" t="str">
        <x:v>P195</x:v>
      </x:c>
      <x:c r="D203" s="90" t="n">
        <x:f>INDEX('Calendário'!$C$9:$C$214,MATCH($C203,'Calendário'!$B$9:$B$214,0))</x:f>
        <x:v>46619.5</x:v>
      </x:c>
      <x:c r="E203" s="69" t="str">
        <x:f>INDEX('Calendário'!$F$9:$F$214,MATCH($C203,'Calendário'!$B$9:$B$214,0))</x:f>
        <x:v>Carrossel</x:v>
      </x:c>
      <x:c r="F203" s="69" t="str">
        <x:f>INDEX('Calendário'!$G$9:$G$214,MATCH($C203,'Calendário'!$B$9:$B$214,0))</x:f>
        <x:v>Checklist: uma rotina para revisar.</x:v>
      </x:c>
      <x:c r="G203" s="78" t="str">
        <x:f>IF(INDEX('Calendário'!$P$9:$P$214,MATCH($C203,'Calendário'!$B$9:$B$214,0))="","",INDEX('Calendário'!$P$9:$P$214,MATCH($C203,'Calendário'!$B$9:$B$214,0)))</x:f>
      </x:c>
      <x:c r="H203" s="75" t="str">
        <x:v>Não iniciada</x:v>
      </x:c>
      <x:c r="I203" s="75" t="str">
        <x:v>Não se aplica</x:v>
      </x:c>
      <x:c r="J203" s="75" t="str">
        <x:v>Pendente</x:v>
      </x:c>
      <x:c r="K203" s="75" t="str">
        <x:v>Pendente</x:v>
      </x:c>
      <x:c r="L203" s="87" t="str">
        <x:f>(COUNTIFS('Calendário'!$B$9:$B$214,$C203,'Calendário'!$J$9:$J$214,"Agendado")+COUNTIFS('Calendário'!$B$9:$B$214,$C203,'Calendário'!$K$9:$K$214,"Agendado")+COUNTIFS('Calendário'!$B$9:$B$214,$C203,'Calendário'!$M$9:$M$214,"Agendado")+COUNTIFS('Calendário'!$B$9:$B$214,$C203,'Calendário'!$N$9:$N$214,"Agendado")+COUNTIFS('Calendário'!$B$9:$B$214,$C203,'Calendário'!$O$9:$O$214,"Agendado")+COUNTIFS('Calendário'!$B$9:$B$214,$C203,'Calendário'!$J$9:$J$214,"Publicado")+COUNTIFS('Calendário'!$B$9:$B$214,$C203,'Calendário'!$K$9:$K$214,"Publicado")+COUNTIFS('Calendário'!$B$9:$B$214,$C203,'Calendário'!$M$9:$M$214,"Publicado")+COUNTIFS('Calendário'!$B$9:$B$214,$C203,'Calendário'!$N$9:$N$214,"Publicado")+COUNTIFS('Calendário'!$B$9:$B$214,$C203,'Calendário'!$O$9:$O$214,"Publicado"))&amp;" de "&amp;(5-COUNTIFS('Calendário'!$B$9:$B$214,$C203,'Calendário'!$N$9:$N$214,"Não se aplica")-COUNTIFS('Calendário'!$B$9:$B$214,$C203,'Calendário'!$O$9:$O$214,"Não se aplica"))</x:f>
        <x:v>0 de 3</x:v>
      </x:c>
      <x:c r="M203" s="87" t="str">
        <x:f>(COUNTIFS('Calendário'!$B$9:$B$214,$C203,'Calendário'!$J$9:$J$214,"Publicado")+COUNTIFS('Calendário'!$B$9:$B$214,$C203,'Calendário'!$K$9:$K$214,"Publicado")+COUNTIFS('Calendário'!$B$9:$B$214,$C203,'Calendário'!$M$9:$M$214,"Publicado")+COUNTIFS('Calendário'!$B$9:$B$214,$C203,'Calendário'!$N$9:$N$214,"Publicado")+COUNTIFS('Calendário'!$B$9:$B$214,$C203,'Calendário'!$O$9:$O$214,"Publicado"))&amp;" de "&amp;(5-COUNTIFS('Calendário'!$B$9:$B$214,$C203,'Calendário'!$N$9:$N$214,"Não se aplica")-COUNTIFS('Calendário'!$B$9:$B$214,$C203,'Calendário'!$O$9:$O$214,"Não se aplica"))</x:f>
        <x:v>0 de 3</x:v>
      </x:c>
      <x:c r="N203" s="75"/>
      <x:c r="O203" s="75"/>
      <x:c r="P203" s="61"/>
    </x:row>
    <x:row r="204" ht="57" customHeight="1">
      <x:c r="A204" s="61"/>
      <x:c r="B204" s="69" t="str">
        <x:f>TEXT(D204,"yyyy-mm")</x:f>
        <x:v>2027-08</x:v>
      </x:c>
      <x:c r="C204" s="72" t="str">
        <x:v>P196</x:v>
      </x:c>
      <x:c r="D204" s="90" t="n">
        <x:f>INDEX('Calendário'!$C$9:$C$214,MATCH($C204,'Calendário'!$B$9:$B$214,0))</x:f>
        <x:v>46620.5</x:v>
      </x:c>
      <x:c r="E204" s="69" t="str">
        <x:f>INDEX('Calendário'!$F$9:$F$214,MATCH($C204,'Calendário'!$B$9:$B$214,0))</x:f>
        <x:v>Estático</x:v>
      </x:c>
      <x:c r="F204" s="69" t="str">
        <x:f>INDEX('Calendário'!$G$9:$G$214,MATCH($C204,'Calendário'!$B$9:$B$214,0))</x:f>
        <x:v>Qual etapa do seu fluxo merece mais
atenção?</x:v>
      </x:c>
      <x:c r="G204" s="78" t="str">
        <x:f>IF(INDEX('Calendário'!$P$9:$P$214,MATCH($C204,'Calendário'!$B$9:$B$214,0))="","",INDEX('Calendário'!$P$9:$P$214,MATCH($C204,'Calendário'!$B$9:$B$214,0)))</x:f>
      </x:c>
      <x:c r="H204" s="75" t="str">
        <x:v>Não iniciada</x:v>
      </x:c>
      <x:c r="I204" s="75" t="str">
        <x:v>Não se aplica</x:v>
      </x:c>
      <x:c r="J204" s="75" t="str">
        <x:v>Pendente</x:v>
      </x:c>
      <x:c r="K204" s="75" t="str">
        <x:v>Pendente</x:v>
      </x:c>
      <x:c r="L204" s="87" t="str">
        <x:f>(COUNTIFS('Calendário'!$B$9:$B$214,$C204,'Calendário'!$J$9:$J$214,"Agendado")+COUNTIFS('Calendário'!$B$9:$B$214,$C204,'Calendário'!$K$9:$K$214,"Agendado")+COUNTIFS('Calendário'!$B$9:$B$214,$C204,'Calendário'!$M$9:$M$214,"Agendado")+COUNTIFS('Calendário'!$B$9:$B$214,$C204,'Calendário'!$N$9:$N$214,"Agendado")+COUNTIFS('Calendário'!$B$9:$B$214,$C204,'Calendário'!$O$9:$O$214,"Agendado")+COUNTIFS('Calendário'!$B$9:$B$214,$C204,'Calendário'!$J$9:$J$214,"Publicado")+COUNTIFS('Calendário'!$B$9:$B$214,$C204,'Calendário'!$K$9:$K$214,"Publicado")+COUNTIFS('Calendário'!$B$9:$B$214,$C204,'Calendário'!$M$9:$M$214,"Publicado")+COUNTIFS('Calendário'!$B$9:$B$214,$C204,'Calendário'!$N$9:$N$214,"Publicado")+COUNTIFS('Calendário'!$B$9:$B$214,$C204,'Calendário'!$O$9:$O$214,"Publicado"))&amp;" de "&amp;(5-COUNTIFS('Calendário'!$B$9:$B$214,$C204,'Calendário'!$N$9:$N$214,"Não se aplica")-COUNTIFS('Calendário'!$B$9:$B$214,$C204,'Calendário'!$O$9:$O$214,"Não se aplica"))</x:f>
        <x:v>0 de 3</x:v>
      </x:c>
      <x:c r="M204" s="87" t="str">
        <x:f>(COUNTIFS('Calendário'!$B$9:$B$214,$C204,'Calendário'!$J$9:$J$214,"Publicado")+COUNTIFS('Calendário'!$B$9:$B$214,$C204,'Calendário'!$K$9:$K$214,"Publicado")+COUNTIFS('Calendário'!$B$9:$B$214,$C204,'Calendário'!$M$9:$M$214,"Publicado")+COUNTIFS('Calendário'!$B$9:$B$214,$C204,'Calendário'!$N$9:$N$214,"Publicado")+COUNTIFS('Calendário'!$B$9:$B$214,$C204,'Calendário'!$O$9:$O$214,"Publicado"))&amp;" de "&amp;(5-COUNTIFS('Calendário'!$B$9:$B$214,$C204,'Calendário'!$N$9:$N$214,"Não se aplica")-COUNTIFS('Calendário'!$B$9:$B$214,$C204,'Calendário'!$O$9:$O$214,"Não se aplica"))</x:f>
        <x:v>0 de 3</x:v>
      </x:c>
      <x:c r="N204" s="75"/>
      <x:c r="O204" s="75"/>
      <x:c r="P204" s="61"/>
    </x:row>
    <x:row r="205" ht="57" customHeight="1">
      <x:c r="A205" s="61"/>
      <x:c r="B205" s="69" t="str">
        <x:f>TEXT(D205,"yyyy-mm")</x:f>
        <x:v>2027-08</x:v>
      </x:c>
      <x:c r="C205" s="72" t="str">
        <x:v>P197</x:v>
      </x:c>
      <x:c r="D205" s="90" t="n">
        <x:f>INDEX('Calendário'!$C$9:$C$214,MATCH($C205,'Calendário'!$B$9:$B$214,0))</x:f>
        <x:v>46622.5</x:v>
      </x:c>
      <x:c r="E205" s="69" t="str">
        <x:f>INDEX('Calendário'!$F$9:$F$214,MATCH($C205,'Calendário'!$B$9:$B$214,0))</x:f>
        <x:v>Carrossel</x:v>
      </x:c>
      <x:c r="F205" s="69" t="str">
        <x:f>INDEX('Calendário'!$G$9:$G$214,MATCH($C205,'Calendário'!$B$9:$B$214,0))</x:f>
        <x:v>O que contar para avaliar a Arxis no seu
contexto?</x:v>
      </x:c>
      <x:c r="G205" s="78" t="str">
        <x:f>IF(INDEX('Calendário'!$P$9:$P$214,MATCH($C205,'Calendário'!$B$9:$B$214,0))="","",INDEX('Calendário'!$P$9:$P$214,MATCH($C205,'Calendário'!$B$9:$B$214,0)))</x:f>
      </x:c>
      <x:c r="H205" s="75" t="str">
        <x:v>Não iniciada</x:v>
      </x:c>
      <x:c r="I205" s="75" t="str">
        <x:v>Não se aplica</x:v>
      </x:c>
      <x:c r="J205" s="75" t="str">
        <x:v>Pendente</x:v>
      </x:c>
      <x:c r="K205" s="75" t="str">
        <x:v>Pendente</x:v>
      </x:c>
      <x:c r="L205" s="87" t="str">
        <x:f>(COUNTIFS('Calendário'!$B$9:$B$214,$C205,'Calendário'!$J$9:$J$214,"Agendado")+COUNTIFS('Calendário'!$B$9:$B$214,$C205,'Calendário'!$K$9:$K$214,"Agendado")+COUNTIFS('Calendário'!$B$9:$B$214,$C205,'Calendário'!$M$9:$M$214,"Agendado")+COUNTIFS('Calendário'!$B$9:$B$214,$C205,'Calendário'!$N$9:$N$214,"Agendado")+COUNTIFS('Calendário'!$B$9:$B$214,$C205,'Calendário'!$O$9:$O$214,"Agendado")+COUNTIFS('Calendário'!$B$9:$B$214,$C205,'Calendário'!$J$9:$J$214,"Publicado")+COUNTIFS('Calendário'!$B$9:$B$214,$C205,'Calendário'!$K$9:$K$214,"Publicado")+COUNTIFS('Calendário'!$B$9:$B$214,$C205,'Calendário'!$M$9:$M$214,"Publicado")+COUNTIFS('Calendário'!$B$9:$B$214,$C205,'Calendário'!$N$9:$N$214,"Publicado")+COUNTIFS('Calendário'!$B$9:$B$214,$C205,'Calendário'!$O$9:$O$214,"Publicado"))&amp;" de "&amp;(5-COUNTIFS('Calendário'!$B$9:$B$214,$C205,'Calendário'!$N$9:$N$214,"Não se aplica")-COUNTIFS('Calendário'!$B$9:$B$214,$C205,'Calendário'!$O$9:$O$214,"Não se aplica"))</x:f>
        <x:v>0 de 3</x:v>
      </x:c>
      <x:c r="M205" s="87" t="str">
        <x:f>(COUNTIFS('Calendário'!$B$9:$B$214,$C205,'Calendário'!$J$9:$J$214,"Publicado")+COUNTIFS('Calendário'!$B$9:$B$214,$C205,'Calendário'!$K$9:$K$214,"Publicado")+COUNTIFS('Calendário'!$B$9:$B$214,$C205,'Calendário'!$M$9:$M$214,"Publicado")+COUNTIFS('Calendário'!$B$9:$B$214,$C205,'Calendário'!$N$9:$N$214,"Publicado")+COUNTIFS('Calendário'!$B$9:$B$214,$C205,'Calendário'!$O$9:$O$214,"Publicado"))&amp;" de "&amp;(5-COUNTIFS('Calendário'!$B$9:$B$214,$C205,'Calendário'!$N$9:$N$214,"Não se aplica")-COUNTIFS('Calendário'!$B$9:$B$214,$C205,'Calendário'!$O$9:$O$214,"Não se aplica"))</x:f>
        <x:v>0 de 3</x:v>
      </x:c>
      <x:c r="N205" s="75"/>
      <x:c r="O205" s="75"/>
      <x:c r="P205" s="61"/>
    </x:row>
    <x:row r="206" ht="57" customHeight="1">
      <x:c r="A206" s="61"/>
      <x:c r="B206" s="69" t="str">
        <x:f>TEXT(D206,"yyyy-mm")</x:f>
        <x:v>2027-08</x:v>
      </x:c>
      <x:c r="C206" s="72" t="str">
        <x:v>P198</x:v>
      </x:c>
      <x:c r="D206" s="90" t="n">
        <x:f>INDEX('Calendário'!$C$9:$C$214,MATCH($C206,'Calendário'!$B$9:$B$214,0))</x:f>
        <x:v>46624.5</x:v>
      </x:c>
      <x:c r="E206" s="69" t="str">
        <x:f>INDEX('Calendário'!$F$9:$F$214,MATCH($C206,'Calendário'!$B$9:$B$214,0))</x:f>
        <x:v>Reel</x:v>
      </x:c>
      <x:c r="F206" s="69" t="str">
        <x:f>INDEX('Calendário'!$G$9:$G$214,MATCH($C206,'Calendário'!$B$9:$B$214,0))</x:f>
        <x:v>Exemplo prático: contexto para conversar
com a Arxis.</x:v>
      </x:c>
      <x:c r="G206" s="78" t="str">
        <x:f>IF(INDEX('Calendário'!$P$9:$P$214,MATCH($C206,'Calendário'!$B$9:$B$214,0))="","",INDEX('Calendário'!$P$9:$P$214,MATCH($C206,'Calendário'!$B$9:$B$214,0)))</x:f>
      </x:c>
      <x:c r="H206" s="75" t="str">
        <x:v>Não iniciada</x:v>
      </x:c>
      <x:c r="I206" s="75" t="str">
        <x:v>Não iniciado</x:v>
      </x:c>
      <x:c r="J206" s="75" t="str">
        <x:v>Pendente</x:v>
      </x:c>
      <x:c r="K206" s="75" t="str">
        <x:v>Pendente</x:v>
      </x:c>
      <x:c r="L206" s="87" t="str">
        <x:f>(COUNTIFS('Calendário'!$B$9:$B$214,$C206,'Calendário'!$J$9:$J$214,"Agendado")+COUNTIFS('Calendário'!$B$9:$B$214,$C206,'Calendário'!$K$9:$K$214,"Agendado")+COUNTIFS('Calendário'!$B$9:$B$214,$C206,'Calendário'!$M$9:$M$214,"Agendado")+COUNTIFS('Calendário'!$B$9:$B$214,$C206,'Calendário'!$N$9:$N$214,"Agendado")+COUNTIFS('Calendário'!$B$9:$B$214,$C206,'Calendário'!$O$9:$O$214,"Agendado")+COUNTIFS('Calendário'!$B$9:$B$214,$C206,'Calendário'!$J$9:$J$214,"Publicado")+COUNTIFS('Calendário'!$B$9:$B$214,$C206,'Calendário'!$K$9:$K$214,"Publicado")+COUNTIFS('Calendário'!$B$9:$B$214,$C206,'Calendário'!$M$9:$M$214,"Publicado")+COUNTIFS('Calendário'!$B$9:$B$214,$C206,'Calendário'!$N$9:$N$214,"Publicado")+COUNTIFS('Calendário'!$B$9:$B$214,$C206,'Calendário'!$O$9:$O$214,"Publicado"))&amp;" de "&amp;(5-COUNTIFS('Calendário'!$B$9:$B$214,$C206,'Calendário'!$N$9:$N$214,"Não se aplica")-COUNTIFS('Calendário'!$B$9:$B$214,$C206,'Calendário'!$O$9:$O$214,"Não se aplica"))</x:f>
        <x:v>0 de 5</x:v>
      </x:c>
      <x:c r="M206" s="87" t="str">
        <x:f>(COUNTIFS('Calendário'!$B$9:$B$214,$C206,'Calendário'!$J$9:$J$214,"Publicado")+COUNTIFS('Calendário'!$B$9:$B$214,$C206,'Calendário'!$K$9:$K$214,"Publicado")+COUNTIFS('Calendário'!$B$9:$B$214,$C206,'Calendário'!$M$9:$M$214,"Publicado")+COUNTIFS('Calendário'!$B$9:$B$214,$C206,'Calendário'!$N$9:$N$214,"Publicado")+COUNTIFS('Calendário'!$B$9:$B$214,$C206,'Calendário'!$O$9:$O$214,"Publicado"))&amp;" de "&amp;(5-COUNTIFS('Calendário'!$B$9:$B$214,$C206,'Calendário'!$N$9:$N$214,"Não se aplica")-COUNTIFS('Calendário'!$B$9:$B$214,$C206,'Calendário'!$O$9:$O$214,"Não se aplica"))</x:f>
        <x:v>0 de 5</x:v>
      </x:c>
      <x:c r="N206" s="75"/>
      <x:c r="O206" s="75"/>
      <x:c r="P206" s="61"/>
    </x:row>
    <x:row r="207" ht="57" customHeight="1">
      <x:c r="A207" s="61"/>
      <x:c r="B207" s="69" t="str">
        <x:f>TEXT(D207,"yyyy-mm")</x:f>
        <x:v>2027-08</x:v>
      </x:c>
      <x:c r="C207" s="72" t="str">
        <x:v>P199</x:v>
      </x:c>
      <x:c r="D207" s="90" t="n">
        <x:f>INDEX('Calendário'!$C$9:$C$214,MATCH($C207,'Calendário'!$B$9:$B$214,0))</x:f>
        <x:v>46626.5</x:v>
      </x:c>
      <x:c r="E207" s="69" t="str">
        <x:f>INDEX('Calendário'!$F$9:$F$214,MATCH($C207,'Calendário'!$B$9:$B$214,0))</x:f>
        <x:v>Carrossel</x:v>
      </x:c>
      <x:c r="F207" s="69" t="str">
        <x:f>INDEX('Calendário'!$G$9:$G$214,MATCH($C207,'Calendário'!$B$9:$B$214,0))</x:f>
        <x:v>Checklist: contexto para conversar com a
Arxis.</x:v>
      </x:c>
      <x:c r="G207" s="78" t="str">
        <x:f>IF(INDEX('Calendário'!$P$9:$P$214,MATCH($C207,'Calendário'!$B$9:$B$214,0))="","",INDEX('Calendário'!$P$9:$P$214,MATCH($C207,'Calendário'!$B$9:$B$214,0)))</x:f>
      </x:c>
      <x:c r="H207" s="75" t="str">
        <x:v>Não iniciada</x:v>
      </x:c>
      <x:c r="I207" s="75" t="str">
        <x:v>Não se aplica</x:v>
      </x:c>
      <x:c r="J207" s="75" t="str">
        <x:v>Pendente</x:v>
      </x:c>
      <x:c r="K207" s="75" t="str">
        <x:v>Pendente</x:v>
      </x:c>
      <x:c r="L207" s="87" t="str">
        <x:f>(COUNTIFS('Calendário'!$B$9:$B$214,$C207,'Calendário'!$J$9:$J$214,"Agendado")+COUNTIFS('Calendário'!$B$9:$B$214,$C207,'Calendário'!$K$9:$K$214,"Agendado")+COUNTIFS('Calendário'!$B$9:$B$214,$C207,'Calendário'!$M$9:$M$214,"Agendado")+COUNTIFS('Calendário'!$B$9:$B$214,$C207,'Calendário'!$N$9:$N$214,"Agendado")+COUNTIFS('Calendário'!$B$9:$B$214,$C207,'Calendário'!$O$9:$O$214,"Agendado")+COUNTIFS('Calendário'!$B$9:$B$214,$C207,'Calendário'!$J$9:$J$214,"Publicado")+COUNTIFS('Calendário'!$B$9:$B$214,$C207,'Calendário'!$K$9:$K$214,"Publicado")+COUNTIFS('Calendário'!$B$9:$B$214,$C207,'Calendário'!$M$9:$M$214,"Publicado")+COUNTIFS('Calendário'!$B$9:$B$214,$C207,'Calendário'!$N$9:$N$214,"Publicado")+COUNTIFS('Calendário'!$B$9:$B$214,$C207,'Calendário'!$O$9:$O$214,"Publicado"))&amp;" de "&amp;(5-COUNTIFS('Calendário'!$B$9:$B$214,$C207,'Calendário'!$N$9:$N$214,"Não se aplica")-COUNTIFS('Calendário'!$B$9:$B$214,$C207,'Calendário'!$O$9:$O$214,"Não se aplica"))</x:f>
        <x:v>0 de 3</x:v>
      </x:c>
      <x:c r="M207" s="87" t="str">
        <x:f>(COUNTIFS('Calendário'!$B$9:$B$214,$C207,'Calendário'!$J$9:$J$214,"Publicado")+COUNTIFS('Calendário'!$B$9:$B$214,$C207,'Calendário'!$K$9:$K$214,"Publicado")+COUNTIFS('Calendário'!$B$9:$B$214,$C207,'Calendário'!$M$9:$M$214,"Publicado")+COUNTIFS('Calendário'!$B$9:$B$214,$C207,'Calendário'!$N$9:$N$214,"Publicado")+COUNTIFS('Calendário'!$B$9:$B$214,$C207,'Calendário'!$O$9:$O$214,"Publicado"))&amp;" de "&amp;(5-COUNTIFS('Calendário'!$B$9:$B$214,$C207,'Calendário'!$N$9:$N$214,"Não se aplica")-COUNTIFS('Calendário'!$B$9:$B$214,$C207,'Calendário'!$O$9:$O$214,"Não se aplica"))</x:f>
        <x:v>0 de 3</x:v>
      </x:c>
      <x:c r="N207" s="75"/>
      <x:c r="O207" s="75"/>
      <x:c r="P207" s="61"/>
    </x:row>
    <x:row r="208" ht="57" customHeight="1">
      <x:c r="A208" s="61"/>
      <x:c r="B208" s="69" t="str">
        <x:f>TEXT(D208,"yyyy-mm")</x:f>
        <x:v>2027-08</x:v>
      </x:c>
      <x:c r="C208" s="72" t="str">
        <x:v>P200</x:v>
      </x:c>
      <x:c r="D208" s="90" t="n">
        <x:f>INDEX('Calendário'!$C$9:$C$214,MATCH($C208,'Calendário'!$B$9:$B$214,0))</x:f>
        <x:v>46627.5</x:v>
      </x:c>
      <x:c r="E208" s="69" t="str">
        <x:f>INDEX('Calendário'!$F$9:$F$214,MATCH($C208,'Calendário'!$B$9:$B$214,0))</x:f>
        <x:v>Estático</x:v>
      </x:c>
      <x:c r="F208" s="69" t="str">
        <x:f>INDEX('Calendário'!$G$9:$G$214,MATCH($C208,'Calendário'!$B$9:$B$214,0))</x:f>
        <x:v>Qual desafio você quer conversar com a
Arxis?</x:v>
      </x:c>
      <x:c r="G208" s="78" t="str">
        <x:f>IF(INDEX('Calendário'!$P$9:$P$214,MATCH($C208,'Calendário'!$B$9:$B$214,0))="","",INDEX('Calendário'!$P$9:$P$214,MATCH($C208,'Calendário'!$B$9:$B$214,0)))</x:f>
      </x:c>
      <x:c r="H208" s="75" t="str">
        <x:v>Não iniciada</x:v>
      </x:c>
      <x:c r="I208" s="75" t="str">
        <x:v>Não se aplica</x:v>
      </x:c>
      <x:c r="J208" s="75" t="str">
        <x:v>Pendente</x:v>
      </x:c>
      <x:c r="K208" s="75" t="str">
        <x:v>Pendente</x:v>
      </x:c>
      <x:c r="L208" s="87" t="str">
        <x:f>(COUNTIFS('Calendário'!$B$9:$B$214,$C208,'Calendário'!$J$9:$J$214,"Agendado")+COUNTIFS('Calendário'!$B$9:$B$214,$C208,'Calendário'!$K$9:$K$214,"Agendado")+COUNTIFS('Calendário'!$B$9:$B$214,$C208,'Calendário'!$M$9:$M$214,"Agendado")+COUNTIFS('Calendário'!$B$9:$B$214,$C208,'Calendário'!$N$9:$N$214,"Agendado")+COUNTIFS('Calendário'!$B$9:$B$214,$C208,'Calendário'!$O$9:$O$214,"Agendado")+COUNTIFS('Calendário'!$B$9:$B$214,$C208,'Calendário'!$J$9:$J$214,"Publicado")+COUNTIFS('Calendário'!$B$9:$B$214,$C208,'Calendário'!$K$9:$K$214,"Publicado")+COUNTIFS('Calendário'!$B$9:$B$214,$C208,'Calendário'!$M$9:$M$214,"Publicado")+COUNTIFS('Calendário'!$B$9:$B$214,$C208,'Calendário'!$N$9:$N$214,"Publicado")+COUNTIFS('Calendário'!$B$9:$B$214,$C208,'Calendário'!$O$9:$O$214,"Publicado"))&amp;" de "&amp;(5-COUNTIFS('Calendário'!$B$9:$B$214,$C208,'Calendário'!$N$9:$N$214,"Não se aplica")-COUNTIFS('Calendário'!$B$9:$B$214,$C208,'Calendário'!$O$9:$O$214,"Não se aplica"))</x:f>
        <x:v>0 de 3</x:v>
      </x:c>
      <x:c r="M208" s="87" t="str">
        <x:f>(COUNTIFS('Calendário'!$B$9:$B$214,$C208,'Calendário'!$J$9:$J$214,"Publicado")+COUNTIFS('Calendário'!$B$9:$B$214,$C208,'Calendário'!$K$9:$K$214,"Publicado")+COUNTIFS('Calendário'!$B$9:$B$214,$C208,'Calendário'!$M$9:$M$214,"Publicado")+COUNTIFS('Calendário'!$B$9:$B$214,$C208,'Calendário'!$N$9:$N$214,"Publicado")+COUNTIFS('Calendário'!$B$9:$B$214,$C208,'Calendário'!$O$9:$O$214,"Publicado"))&amp;" de "&amp;(5-COUNTIFS('Calendário'!$B$9:$B$214,$C208,'Calendário'!$N$9:$N$214,"Não se aplica")-COUNTIFS('Calendário'!$B$9:$B$214,$C208,'Calendário'!$O$9:$O$214,"Não se aplica"))</x:f>
        <x:v>0 de 3</x:v>
      </x:c>
      <x:c r="N208" s="75"/>
      <x:c r="O208" s="75"/>
      <x:c r="P208" s="61"/>
    </x:row>
    <x:row r="209" ht="57" customHeight="1">
      <x:c r="A209" s="61"/>
      <x:c r="B209" s="69" t="str">
        <x:f>TEXT(D209,"yyyy-mm")</x:f>
        <x:v>2027-08</x:v>
      </x:c>
      <x:c r="C209" s="72" t="str">
        <x:v>P201</x:v>
      </x:c>
      <x:c r="D209" s="90" t="n">
        <x:f>INDEX('Calendário'!$C$9:$C$214,MATCH($C209,'Calendário'!$B$9:$B$214,0))</x:f>
        <x:v>46629.5</x:v>
      </x:c>
      <x:c r="E209" s="69" t="str">
        <x:f>INDEX('Calendário'!$F$9:$F$214,MATCH($C209,'Calendário'!$B$9:$B$214,0))</x:f>
        <x:v>Carrossel</x:v>
      </x:c>
      <x:c r="F209" s="69" t="str">
        <x:f>INDEX('Calendário'!$G$9:$G$214,MATCH($C209,'Calendário'!$B$9:$B$214,0))</x:f>
        <x:v>Qual melhoria faz sentido depois do
primeiro passo?</x:v>
      </x:c>
      <x:c r="G209" s="78" t="str">
        <x:f>IF(INDEX('Calendário'!$P$9:$P$214,MATCH($C209,'Calendário'!$B$9:$B$214,0))="","",INDEX('Calendário'!$P$9:$P$214,MATCH($C209,'Calendário'!$B$9:$B$214,0)))</x:f>
      </x:c>
      <x:c r="H209" s="75" t="str">
        <x:v>Não iniciada</x:v>
      </x:c>
      <x:c r="I209" s="75" t="str">
        <x:v>Não se aplica</x:v>
      </x:c>
      <x:c r="J209" s="75" t="str">
        <x:v>Pendente</x:v>
      </x:c>
      <x:c r="K209" s="75" t="str">
        <x:v>Pendente</x:v>
      </x:c>
      <x:c r="L209" s="87" t="str">
        <x:f>(COUNTIFS('Calendário'!$B$9:$B$214,$C209,'Calendário'!$J$9:$J$214,"Agendado")+COUNTIFS('Calendário'!$B$9:$B$214,$C209,'Calendário'!$K$9:$K$214,"Agendado")+COUNTIFS('Calendário'!$B$9:$B$214,$C209,'Calendário'!$M$9:$M$214,"Agendado")+COUNTIFS('Calendário'!$B$9:$B$214,$C209,'Calendário'!$N$9:$N$214,"Agendado")+COUNTIFS('Calendário'!$B$9:$B$214,$C209,'Calendário'!$O$9:$O$214,"Agendado")+COUNTIFS('Calendário'!$B$9:$B$214,$C209,'Calendário'!$J$9:$J$214,"Publicado")+COUNTIFS('Calendário'!$B$9:$B$214,$C209,'Calendário'!$K$9:$K$214,"Publicado")+COUNTIFS('Calendário'!$B$9:$B$214,$C209,'Calendário'!$M$9:$M$214,"Publicado")+COUNTIFS('Calendário'!$B$9:$B$214,$C209,'Calendário'!$N$9:$N$214,"Publicado")+COUNTIFS('Calendário'!$B$9:$B$214,$C209,'Calendário'!$O$9:$O$214,"Publicado"))&amp;" de "&amp;(5-COUNTIFS('Calendário'!$B$9:$B$214,$C209,'Calendário'!$N$9:$N$214,"Não se aplica")-COUNTIFS('Calendário'!$B$9:$B$214,$C209,'Calendário'!$O$9:$O$214,"Não se aplica"))</x:f>
        <x:v>0 de 3</x:v>
      </x:c>
      <x:c r="M209" s="87" t="str">
        <x:f>(COUNTIFS('Calendário'!$B$9:$B$214,$C209,'Calendário'!$J$9:$J$214,"Publicado")+COUNTIFS('Calendário'!$B$9:$B$214,$C209,'Calendário'!$K$9:$K$214,"Publicado")+COUNTIFS('Calendário'!$B$9:$B$214,$C209,'Calendário'!$M$9:$M$214,"Publicado")+COUNTIFS('Calendário'!$B$9:$B$214,$C209,'Calendário'!$N$9:$N$214,"Publicado")+COUNTIFS('Calendário'!$B$9:$B$214,$C209,'Calendário'!$O$9:$O$214,"Publicado"))&amp;" de "&amp;(5-COUNTIFS('Calendário'!$B$9:$B$214,$C209,'Calendário'!$N$9:$N$214,"Não se aplica")-COUNTIFS('Calendário'!$B$9:$B$214,$C209,'Calendário'!$O$9:$O$214,"Não se aplica"))</x:f>
        <x:v>0 de 3</x:v>
      </x:c>
      <x:c r="N209" s="75"/>
      <x:c r="O209" s="75"/>
      <x:c r="P209" s="61"/>
    </x:row>
    <x:row r="210" ht="57" customHeight="1">
      <x:c r="A210" s="61"/>
      <x:c r="B210" s="69" t="str">
        <x:f>TEXT(D210,"yyyy-mm")</x:f>
        <x:v>2027-09</x:v>
      </x:c>
      <x:c r="C210" s="72" t="str">
        <x:v>P202</x:v>
      </x:c>
      <x:c r="D210" s="90" t="n">
        <x:f>INDEX('Calendário'!$C$9:$C$214,MATCH($C210,'Calendário'!$B$9:$B$214,0))</x:f>
        <x:v>46631.5</x:v>
      </x:c>
      <x:c r="E210" s="69" t="str">
        <x:f>INDEX('Calendário'!$F$9:$F$214,MATCH($C210,'Calendário'!$B$9:$B$214,0))</x:f>
        <x:v>Reel</x:v>
      </x:c>
      <x:c r="F210" s="69" t="str">
        <x:f>INDEX('Calendário'!$G$9:$G$214,MATCH($C210,'Calendário'!$B$9:$B$214,0))</x:f>
        <x:v>Exemplo prático: escolha do próximo
avanço.</x:v>
      </x:c>
      <x:c r="G210" s="78" t="str">
        <x:f>IF(INDEX('Calendário'!$P$9:$P$214,MATCH($C210,'Calendário'!$B$9:$B$214,0))="","",INDEX('Calendário'!$P$9:$P$214,MATCH($C210,'Calendário'!$B$9:$B$214,0)))</x:f>
      </x:c>
      <x:c r="H210" s="75" t="str">
        <x:v>Não iniciada</x:v>
      </x:c>
      <x:c r="I210" s="75" t="str">
        <x:v>Não iniciado</x:v>
      </x:c>
      <x:c r="J210" s="75" t="str">
        <x:v>Pendente</x:v>
      </x:c>
      <x:c r="K210" s="75" t="str">
        <x:v>Pendente</x:v>
      </x:c>
      <x:c r="L210" s="87" t="str">
        <x:f>(COUNTIFS('Calendário'!$B$9:$B$214,$C210,'Calendário'!$J$9:$J$214,"Agendado")+COUNTIFS('Calendário'!$B$9:$B$214,$C210,'Calendário'!$K$9:$K$214,"Agendado")+COUNTIFS('Calendário'!$B$9:$B$214,$C210,'Calendário'!$M$9:$M$214,"Agendado")+COUNTIFS('Calendário'!$B$9:$B$214,$C210,'Calendário'!$N$9:$N$214,"Agendado")+COUNTIFS('Calendário'!$B$9:$B$214,$C210,'Calendário'!$O$9:$O$214,"Agendado")+COUNTIFS('Calendário'!$B$9:$B$214,$C210,'Calendário'!$J$9:$J$214,"Publicado")+COUNTIFS('Calendário'!$B$9:$B$214,$C210,'Calendário'!$K$9:$K$214,"Publicado")+COUNTIFS('Calendário'!$B$9:$B$214,$C210,'Calendário'!$M$9:$M$214,"Publicado")+COUNTIFS('Calendário'!$B$9:$B$214,$C210,'Calendário'!$N$9:$N$214,"Publicado")+COUNTIFS('Calendário'!$B$9:$B$214,$C210,'Calendário'!$O$9:$O$214,"Publicado"))&amp;" de "&amp;(5-COUNTIFS('Calendário'!$B$9:$B$214,$C210,'Calendário'!$N$9:$N$214,"Não se aplica")-COUNTIFS('Calendário'!$B$9:$B$214,$C210,'Calendário'!$O$9:$O$214,"Não se aplica"))</x:f>
        <x:v>0 de 5</x:v>
      </x:c>
      <x:c r="M210" s="87" t="str">
        <x:f>(COUNTIFS('Calendário'!$B$9:$B$214,$C210,'Calendário'!$J$9:$J$214,"Publicado")+COUNTIFS('Calendário'!$B$9:$B$214,$C210,'Calendário'!$K$9:$K$214,"Publicado")+COUNTIFS('Calendário'!$B$9:$B$214,$C210,'Calendário'!$M$9:$M$214,"Publicado")+COUNTIFS('Calendário'!$B$9:$B$214,$C210,'Calendário'!$N$9:$N$214,"Publicado")+COUNTIFS('Calendário'!$B$9:$B$214,$C210,'Calendário'!$O$9:$O$214,"Publicado"))&amp;" de "&amp;(5-COUNTIFS('Calendário'!$B$9:$B$214,$C210,'Calendário'!$N$9:$N$214,"Não se aplica")-COUNTIFS('Calendário'!$B$9:$B$214,$C210,'Calendário'!$O$9:$O$214,"Não se aplica"))</x:f>
        <x:v>0 de 5</x:v>
      </x:c>
      <x:c r="N210" s="75"/>
      <x:c r="O210" s="75"/>
      <x:c r="P210" s="61"/>
    </x:row>
    <x:row r="211" ht="57" customHeight="1">
      <x:c r="A211" s="61"/>
      <x:c r="B211" s="69" t="str">
        <x:f>TEXT(D211,"yyyy-mm")</x:f>
        <x:v>2027-09</x:v>
      </x:c>
      <x:c r="C211" s="72" t="str">
        <x:v>P203</x:v>
      </x:c>
      <x:c r="D211" s="90" t="n">
        <x:f>INDEX('Calendário'!$C$9:$C$214,MATCH($C211,'Calendário'!$B$9:$B$214,0))</x:f>
        <x:v>46633.5</x:v>
      </x:c>
      <x:c r="E211" s="69" t="str">
        <x:f>INDEX('Calendário'!$F$9:$F$214,MATCH($C211,'Calendário'!$B$9:$B$214,0))</x:f>
        <x:v>Carrossel</x:v>
      </x:c>
      <x:c r="F211" s="69" t="str">
        <x:f>INDEX('Calendário'!$G$9:$G$214,MATCH($C211,'Calendário'!$B$9:$B$214,0))</x:f>
        <x:v>Checklist: escolha do próximo avanço.</x:v>
      </x:c>
      <x:c r="G211" s="78" t="str">
        <x:f>IF(INDEX('Calendário'!$P$9:$P$214,MATCH($C211,'Calendário'!$B$9:$B$214,0))="","",INDEX('Calendário'!$P$9:$P$214,MATCH($C211,'Calendário'!$B$9:$B$214,0)))</x:f>
      </x:c>
      <x:c r="H211" s="75" t="str">
        <x:v>Não iniciada</x:v>
      </x:c>
      <x:c r="I211" s="75" t="str">
        <x:v>Não se aplica</x:v>
      </x:c>
      <x:c r="J211" s="75" t="str">
        <x:v>Pendente</x:v>
      </x:c>
      <x:c r="K211" s="75" t="str">
        <x:v>Pendente</x:v>
      </x:c>
      <x:c r="L211" s="87" t="str">
        <x:f>(COUNTIFS('Calendário'!$B$9:$B$214,$C211,'Calendário'!$J$9:$J$214,"Agendado")+COUNTIFS('Calendário'!$B$9:$B$214,$C211,'Calendário'!$K$9:$K$214,"Agendado")+COUNTIFS('Calendário'!$B$9:$B$214,$C211,'Calendário'!$M$9:$M$214,"Agendado")+COUNTIFS('Calendário'!$B$9:$B$214,$C211,'Calendário'!$N$9:$N$214,"Agendado")+COUNTIFS('Calendário'!$B$9:$B$214,$C211,'Calendário'!$O$9:$O$214,"Agendado")+COUNTIFS('Calendário'!$B$9:$B$214,$C211,'Calendário'!$J$9:$J$214,"Publicado")+COUNTIFS('Calendário'!$B$9:$B$214,$C211,'Calendário'!$K$9:$K$214,"Publicado")+COUNTIFS('Calendário'!$B$9:$B$214,$C211,'Calendário'!$M$9:$M$214,"Publicado")+COUNTIFS('Calendário'!$B$9:$B$214,$C211,'Calendário'!$N$9:$N$214,"Publicado")+COUNTIFS('Calendário'!$B$9:$B$214,$C211,'Calendário'!$O$9:$O$214,"Publicado"))&amp;" de "&amp;(5-COUNTIFS('Calendário'!$B$9:$B$214,$C211,'Calendário'!$N$9:$N$214,"Não se aplica")-COUNTIFS('Calendário'!$B$9:$B$214,$C211,'Calendário'!$O$9:$O$214,"Não se aplica"))</x:f>
        <x:v>0 de 3</x:v>
      </x:c>
      <x:c r="M211" s="87" t="str">
        <x:f>(COUNTIFS('Calendário'!$B$9:$B$214,$C211,'Calendário'!$J$9:$J$214,"Publicado")+COUNTIFS('Calendário'!$B$9:$B$214,$C211,'Calendário'!$K$9:$K$214,"Publicado")+COUNTIFS('Calendário'!$B$9:$B$214,$C211,'Calendário'!$M$9:$M$214,"Publicado")+COUNTIFS('Calendário'!$B$9:$B$214,$C211,'Calendário'!$N$9:$N$214,"Publicado")+COUNTIFS('Calendário'!$B$9:$B$214,$C211,'Calendário'!$O$9:$O$214,"Publicado"))&amp;" de "&amp;(5-COUNTIFS('Calendário'!$B$9:$B$214,$C211,'Calendário'!$N$9:$N$214,"Não se aplica")-COUNTIFS('Calendário'!$B$9:$B$214,$C211,'Calendário'!$O$9:$O$214,"Não se aplica"))</x:f>
        <x:v>0 de 3</x:v>
      </x:c>
      <x:c r="N211" s="75"/>
      <x:c r="O211" s="75"/>
      <x:c r="P211" s="61"/>
    </x:row>
    <x:row r="212" ht="57" customHeight="1">
      <x:c r="A212" s="61"/>
      <x:c r="B212" s="69" t="str">
        <x:f>TEXT(D212,"yyyy-mm")</x:f>
        <x:v>2027-09</x:v>
      </x:c>
      <x:c r="C212" s="72" t="str">
        <x:v>P204</x:v>
      </x:c>
      <x:c r="D212" s="90" t="n">
        <x:f>INDEX('Calendário'!$C$9:$C$214,MATCH($C212,'Calendário'!$B$9:$B$214,0))</x:f>
        <x:v>46634.5</x:v>
      </x:c>
      <x:c r="E212" s="69" t="str">
        <x:f>INDEX('Calendário'!$F$9:$F$214,MATCH($C212,'Calendário'!$B$9:$B$214,0))</x:f>
        <x:v>Estático</x:v>
      </x:c>
      <x:c r="F212" s="69" t="str">
        <x:f>INDEX('Calendário'!$G$9:$G$214,MATCH($C212,'Calendário'!$B$9:$B$214,0))</x:f>
        <x:v>Qual será o próximo passo da sua equipe?</x:v>
      </x:c>
      <x:c r="G212" s="78" t="str">
        <x:f>IF(INDEX('Calendário'!$P$9:$P$214,MATCH($C212,'Calendário'!$B$9:$B$214,0))="","",INDEX('Calendário'!$P$9:$P$214,MATCH($C212,'Calendário'!$B$9:$B$214,0)))</x:f>
      </x:c>
      <x:c r="H212" s="75" t="str">
        <x:v>Não iniciada</x:v>
      </x:c>
      <x:c r="I212" s="75" t="str">
        <x:v>Não se aplica</x:v>
      </x:c>
      <x:c r="J212" s="75" t="str">
        <x:v>Pendente</x:v>
      </x:c>
      <x:c r="K212" s="75" t="str">
        <x:v>Pendente</x:v>
      </x:c>
      <x:c r="L212" s="87" t="str">
        <x:f>(COUNTIFS('Calendário'!$B$9:$B$214,$C212,'Calendário'!$J$9:$J$214,"Agendado")+COUNTIFS('Calendário'!$B$9:$B$214,$C212,'Calendário'!$K$9:$K$214,"Agendado")+COUNTIFS('Calendário'!$B$9:$B$214,$C212,'Calendário'!$M$9:$M$214,"Agendado")+COUNTIFS('Calendário'!$B$9:$B$214,$C212,'Calendário'!$N$9:$N$214,"Agendado")+COUNTIFS('Calendário'!$B$9:$B$214,$C212,'Calendário'!$O$9:$O$214,"Agendado")+COUNTIFS('Calendário'!$B$9:$B$214,$C212,'Calendário'!$J$9:$J$214,"Publicado")+COUNTIFS('Calendário'!$B$9:$B$214,$C212,'Calendário'!$K$9:$K$214,"Publicado")+COUNTIFS('Calendário'!$B$9:$B$214,$C212,'Calendário'!$M$9:$M$214,"Publicado")+COUNTIFS('Calendário'!$B$9:$B$214,$C212,'Calendário'!$N$9:$N$214,"Publicado")+COUNTIFS('Calendário'!$B$9:$B$214,$C212,'Calendário'!$O$9:$O$214,"Publicado"))&amp;" de "&amp;(5-COUNTIFS('Calendário'!$B$9:$B$214,$C212,'Calendário'!$N$9:$N$214,"Não se aplica")-COUNTIFS('Calendário'!$B$9:$B$214,$C212,'Calendário'!$O$9:$O$214,"Não se aplica"))</x:f>
        <x:v>0 de 3</x:v>
      </x:c>
      <x:c r="M212" s="87" t="str">
        <x:f>(COUNTIFS('Calendário'!$B$9:$B$214,$C212,'Calendário'!$J$9:$J$214,"Publicado")+COUNTIFS('Calendário'!$B$9:$B$214,$C212,'Calendário'!$K$9:$K$214,"Publicado")+COUNTIFS('Calendário'!$B$9:$B$214,$C212,'Calendário'!$M$9:$M$214,"Publicado")+COUNTIFS('Calendário'!$B$9:$B$214,$C212,'Calendário'!$N$9:$N$214,"Publicado")+COUNTIFS('Calendário'!$B$9:$B$214,$C212,'Calendário'!$O$9:$O$214,"Publicado"))&amp;" de "&amp;(5-COUNTIFS('Calendário'!$B$9:$B$214,$C212,'Calendário'!$N$9:$N$214,"Não se aplica")-COUNTIFS('Calendário'!$B$9:$B$214,$C212,'Calendário'!$O$9:$O$214,"Não se aplica"))</x:f>
        <x:v>0 de 3</x:v>
      </x:c>
      <x:c r="N212" s="75"/>
      <x:c r="O212" s="75"/>
      <x:c r="P212" s="61"/>
    </x:row>
    <x:row r="213" ht="57" customHeight="1">
      <x:c r="A213" s="61"/>
      <x:c r="B213" s="69" t="str">
        <x:f>TEXT(D213,"yyyy-mm")</x:f>
        <x:v>2027-09</x:v>
      </x:c>
      <x:c r="C213" s="72" t="str">
        <x:v>P205</x:v>
      </x:c>
      <x:c r="D213" s="90" t="n">
        <x:f>INDEX('Calendário'!$C$9:$C$214,MATCH($C213,'Calendário'!$B$9:$B$214,0))</x:f>
        <x:v>46636.5</x:v>
      </x:c>
      <x:c r="E213" s="69" t="str">
        <x:f>INDEX('Calendário'!$F$9:$F$214,MATCH($C213,'Calendário'!$B$9:$B$214,0))</x:f>
        <x:v>Carrossel</x:v>
      </x:c>
      <x:c r="F213" s="69" t="str">
        <x:f>INDEX('Calendário'!$G$9:$G$214,MATCH($C213,'Calendário'!$B$9:$B$214,0))</x:f>
        <x:v>O que sua equipe quer entender melhor
daqui para frente?</x:v>
      </x:c>
      <x:c r="G213" s="78" t="str">
        <x:f>IF(INDEX('Calendário'!$P$9:$P$214,MATCH($C213,'Calendário'!$B$9:$B$214,0))="","",INDEX('Calendário'!$P$9:$P$214,MATCH($C213,'Calendário'!$B$9:$B$214,0)))</x:f>
      </x:c>
      <x:c r="H213" s="75" t="str">
        <x:v>Não iniciada</x:v>
      </x:c>
      <x:c r="I213" s="75" t="str">
        <x:v>Não se aplica</x:v>
      </x:c>
      <x:c r="J213" s="75" t="str">
        <x:v>Pendente</x:v>
      </x:c>
      <x:c r="K213" s="75" t="str">
        <x:v>Pendente</x:v>
      </x:c>
      <x:c r="L213" s="87" t="str">
        <x:f>(COUNTIFS('Calendário'!$B$9:$B$214,$C213,'Calendário'!$J$9:$J$214,"Agendado")+COUNTIFS('Calendário'!$B$9:$B$214,$C213,'Calendário'!$K$9:$K$214,"Agendado")+COUNTIFS('Calendário'!$B$9:$B$214,$C213,'Calendário'!$M$9:$M$214,"Agendado")+COUNTIFS('Calendário'!$B$9:$B$214,$C213,'Calendário'!$N$9:$N$214,"Agendado")+COUNTIFS('Calendário'!$B$9:$B$214,$C213,'Calendário'!$O$9:$O$214,"Agendado")+COUNTIFS('Calendário'!$B$9:$B$214,$C213,'Calendário'!$J$9:$J$214,"Publicado")+COUNTIFS('Calendário'!$B$9:$B$214,$C213,'Calendário'!$K$9:$K$214,"Publicado")+COUNTIFS('Calendário'!$B$9:$B$214,$C213,'Calendário'!$M$9:$M$214,"Publicado")+COUNTIFS('Calendário'!$B$9:$B$214,$C213,'Calendário'!$N$9:$N$214,"Publicado")+COUNTIFS('Calendário'!$B$9:$B$214,$C213,'Calendário'!$O$9:$O$214,"Publicado"))&amp;" de "&amp;(5-COUNTIFS('Calendário'!$B$9:$B$214,$C213,'Calendário'!$N$9:$N$214,"Não se aplica")-COUNTIFS('Calendário'!$B$9:$B$214,$C213,'Calendário'!$O$9:$O$214,"Não se aplica"))</x:f>
        <x:v>0 de 3</x:v>
      </x:c>
      <x:c r="M213" s="87" t="str">
        <x:f>(COUNTIFS('Calendário'!$B$9:$B$214,$C213,'Calendário'!$J$9:$J$214,"Publicado")+COUNTIFS('Calendário'!$B$9:$B$214,$C213,'Calendário'!$K$9:$K$214,"Publicado")+COUNTIFS('Calendário'!$B$9:$B$214,$C213,'Calendário'!$M$9:$M$214,"Publicado")+COUNTIFS('Calendário'!$B$9:$B$214,$C213,'Calendário'!$N$9:$N$214,"Publicado")+COUNTIFS('Calendário'!$B$9:$B$214,$C213,'Calendário'!$O$9:$O$214,"Publicado"))&amp;" de "&amp;(5-COUNTIFS('Calendário'!$B$9:$B$214,$C213,'Calendário'!$N$9:$N$214,"Não se aplica")-COUNTIFS('Calendário'!$B$9:$B$214,$C213,'Calendário'!$O$9:$O$214,"Não se aplica"))</x:f>
        <x:v>0 de 3</x:v>
      </x:c>
      <x:c r="N213" s="75"/>
      <x:c r="O213" s="75"/>
      <x:c r="P213" s="61"/>
    </x:row>
    <x:row r="214" ht="57" customHeight="1">
      <x:c r="A214" s="61"/>
      <x:c r="B214" s="70" t="str">
        <x:f>TEXT(D214,"yyyy-mm")</x:f>
        <x:v>2027-09</x:v>
      </x:c>
      <x:c r="C214" s="73" t="str">
        <x:v>P206</x:v>
      </x:c>
      <x:c r="D214" s="91" t="n">
        <x:f>INDEX('Calendário'!$C$9:$C$214,MATCH($C214,'Calendário'!$B$9:$B$214,0))</x:f>
        <x:v>46638.5</x:v>
      </x:c>
      <x:c r="E214" s="70" t="str">
        <x:f>INDEX('Calendário'!$F$9:$F$214,MATCH($C214,'Calendário'!$B$9:$B$214,0))</x:f>
        <x:v>Reel</x:v>
      </x:c>
      <x:c r="F214" s="70" t="str">
        <x:f>INDEX('Calendário'!$G$9:$G$214,MATCH($C214,'Calendário'!$B$9:$B$214,0))</x:f>
        <x:v>Exemplo prático: próximas dúvidas de
projeto.</x:v>
      </x:c>
      <x:c r="G214" s="79" t="str">
        <x:f>IF(INDEX('Calendário'!$P$9:$P$214,MATCH($C214,'Calendário'!$B$9:$B$214,0))="","",INDEX('Calendário'!$P$9:$P$214,MATCH($C214,'Calendário'!$B$9:$B$214,0)))</x:f>
      </x:c>
      <x:c r="H214" s="76" t="str">
        <x:v>Não iniciada</x:v>
      </x:c>
      <x:c r="I214" s="76" t="str">
        <x:v>Não iniciado</x:v>
      </x:c>
      <x:c r="J214" s="76" t="str">
        <x:v>Pendente</x:v>
      </x:c>
      <x:c r="K214" s="76" t="str">
        <x:v>Pendente</x:v>
      </x:c>
      <x:c r="L214" s="88" t="str">
        <x:f>(COUNTIFS('Calendário'!$B$9:$B$214,$C214,'Calendário'!$J$9:$J$214,"Agendado")+COUNTIFS('Calendário'!$B$9:$B$214,$C214,'Calendário'!$K$9:$K$214,"Agendado")+COUNTIFS('Calendário'!$B$9:$B$214,$C214,'Calendário'!$M$9:$M$214,"Agendado")+COUNTIFS('Calendário'!$B$9:$B$214,$C214,'Calendário'!$N$9:$N$214,"Agendado")+COUNTIFS('Calendário'!$B$9:$B$214,$C214,'Calendário'!$O$9:$O$214,"Agendado")+COUNTIFS('Calendário'!$B$9:$B$214,$C214,'Calendário'!$J$9:$J$214,"Publicado")+COUNTIFS('Calendário'!$B$9:$B$214,$C214,'Calendário'!$K$9:$K$214,"Publicado")+COUNTIFS('Calendário'!$B$9:$B$214,$C214,'Calendário'!$M$9:$M$214,"Publicado")+COUNTIFS('Calendário'!$B$9:$B$214,$C214,'Calendário'!$N$9:$N$214,"Publicado")+COUNTIFS('Calendário'!$B$9:$B$214,$C214,'Calendário'!$O$9:$O$214,"Publicado"))&amp;" de "&amp;(5-COUNTIFS('Calendário'!$B$9:$B$214,$C214,'Calendário'!$N$9:$N$214,"Não se aplica")-COUNTIFS('Calendário'!$B$9:$B$214,$C214,'Calendário'!$O$9:$O$214,"Não se aplica"))</x:f>
        <x:v>0 de 5</x:v>
      </x:c>
      <x:c r="M214" s="88" t="str">
        <x:f>(COUNTIFS('Calendário'!$B$9:$B$214,$C214,'Calendário'!$J$9:$J$214,"Publicado")+COUNTIFS('Calendário'!$B$9:$B$214,$C214,'Calendário'!$K$9:$K$214,"Publicado")+COUNTIFS('Calendário'!$B$9:$B$214,$C214,'Calendário'!$M$9:$M$214,"Publicado")+COUNTIFS('Calendário'!$B$9:$B$214,$C214,'Calendário'!$N$9:$N$214,"Publicado")+COUNTIFS('Calendário'!$B$9:$B$214,$C214,'Calendário'!$O$9:$O$214,"Publicado"))&amp;" de "&amp;(5-COUNTIFS('Calendário'!$B$9:$B$214,$C214,'Calendário'!$N$9:$N$214,"Não se aplica")-COUNTIFS('Calendário'!$B$9:$B$214,$C214,'Calendário'!$O$9:$O$214,"Não se aplica"))</x:f>
        <x:v>0 de 5</x:v>
      </x:c>
      <x:c r="N214" s="76"/>
      <x:c r="O214" s="76"/>
      <x:c r="P214" s="61"/>
    </x:row>
    <x:row r="215">
      <x:c r="A215" s="61"/>
      <x:c r="B215" s="61"/>
      <x:c r="C215" s="61"/>
      <x:c r="D215" s="61"/>
      <x:c r="E215" s="61"/>
      <x:c r="F215" s="61"/>
      <x:c r="G215" s="61"/>
      <x:c r="H215" s="61"/>
      <x:c r="I215" s="61"/>
      <x:c r="J215" s="61"/>
      <x:c r="K215" s="61"/>
      <x:c r="L215" s="61"/>
      <x:c r="M215" s="61"/>
      <x:c r="N215" s="61"/>
      <x:c r="O215" s="61"/>
      <x:c r="P215" s="61"/>
    </x:row>
    <x:row r="216" ht="22.5" customHeight="1">
      <x:c r="A216" s="61"/>
      <x:c r="B216" s="93" t="str">
        <x:v>1. Filtre Mês no cabeçalho. Os campos manuais ficam na mesma linha do ID ao filtrar ou ordenar a tabela inteira. Mantenha um registro por pauta.</x:v>
      </x:c>
      <x:c r="C216" s="93"/>
      <x:c r="D216" s="93"/>
      <x:c r="E216" s="93"/>
      <x:c r="F216" s="93"/>
      <x:c r="G216" s="93"/>
      <x:c r="H216" s="93"/>
      <x:c r="I216" s="93"/>
      <x:c r="J216" s="93"/>
      <x:c r="K216" s="93"/>
      <x:c r="L216" s="93"/>
      <x:c r="M216" s="93"/>
      <x:c r="N216" s="93"/>
      <x:c r="O216" s="93"/>
      <x:c r="P216" s="61"/>
    </x:row>
    <x:row r="217" ht="22.5" customHeight="1">
      <x:c r="A217" s="61"/>
      <x:c r="B217" s="93" t="str">
        <x:v>2. Arte e capa: peça estática, páginas do carrossel ou capa do Reel. Vídeo: gravação e edição dos Reels; demais formatos começam como Não se aplica.</x:v>
      </x:c>
      <x:c r="C217" s="93"/>
      <x:c r="D217" s="93"/>
      <x:c r="E217" s="93"/>
      <x:c r="F217" s="93"/>
      <x:c r="G217" s="93"/>
      <x:c r="H217" s="93"/>
      <x:c r="I217" s="93"/>
      <x:c r="J217" s="93"/>
      <x:c r="K217" s="93"/>
      <x:c r="L217" s="93"/>
      <x:c r="M217" s="93"/>
      <x:c r="N217" s="93"/>
      <x:c r="O217" s="93"/>
      <x:c r="P217" s="61"/>
    </x:row>
    <x:row r="218" ht="22.5" customHeight="1">
      <x:c r="A218" s="61"/>
      <x:c r="B218" s="93" t="str">
        <x:v>3. Atualize revisão e aprovação conforme o trabalho real. Agendamento e publicação são contagens automáticas dos cinco controles por canal no Calendário.</x:v>
      </x:c>
      <x:c r="C218" s="93"/>
      <x:c r="D218" s="93"/>
      <x:c r="E218" s="93"/>
      <x:c r="F218" s="93"/>
      <x:c r="G218" s="93"/>
      <x:c r="H218" s="93"/>
      <x:c r="I218" s="93"/>
      <x:c r="J218" s="93"/>
      <x:c r="K218" s="93"/>
      <x:c r="L218" s="93"/>
      <x:c r="M218" s="93"/>
      <x:c r="N218" s="93"/>
      <x:c r="O218" s="93"/>
      <x:c r="P218" s="61"/>
    </x:row>
    <x:row r="219" ht="22.5" customHeight="1">
      <x:c r="A219" s="61"/>
      <x:c r="B219" s="93" t="str">
        <x:v>4. Stories permanecem na aba Stories. Vídeos longos do YouTube seguem a orientação existente em Direção e não integram estas 206 pautas de feed.</x:v>
      </x:c>
      <x:c r="C219" s="93"/>
      <x:c r="D219" s="93"/>
      <x:c r="E219" s="93"/>
      <x:c r="F219" s="93"/>
      <x:c r="G219" s="93"/>
      <x:c r="H219" s="93"/>
      <x:c r="I219" s="93"/>
      <x:c r="J219" s="93"/>
      <x:c r="K219" s="93"/>
      <x:c r="L219" s="93"/>
      <x:c r="M219" s="93"/>
      <x:c r="N219" s="93"/>
      <x:c r="O219" s="93"/>
      <x:c r="P219" s="61"/>
    </x:row>
    <x:row r="220">
      <x:c r="A220" s="61"/>
      <x:c r="B220" s="61"/>
      <x:c r="C220" s="61"/>
      <x:c r="D220" s="61"/>
      <x:c r="E220" s="61"/>
      <x:c r="F220" s="61"/>
      <x:c r="G220" s="61"/>
      <x:c r="H220" s="61"/>
      <x:c r="I220" s="61"/>
      <x:c r="J220" s="61"/>
      <x:c r="K220" s="61"/>
      <x:c r="L220" s="61"/>
      <x:c r="M220" s="61"/>
      <x:c r="N220" s="61"/>
      <x:c r="O220" s="61"/>
      <x:c r="P220" s="61"/>
    </x:row>
  </x:sheetData>
  <x:mergeCells>
    <x:mergeCell ref="B2:O2"/>
    <x:mergeCell ref="B3:O3"/>
    <x:mergeCell ref="B6:O6"/>
    <x:mergeCell ref="B216:O216"/>
    <x:mergeCell ref="B217:O217"/>
    <x:mergeCell ref="B218:O218"/>
    <x:mergeCell ref="B219:O219"/>
  </x:mergeCells>
  <x:conditionalFormatting sqref="H9:H214">
    <x:cfRule type="containsText" dxfId="23" priority="1" operator="containsText" text="Pronta"/>
  </x:conditionalFormatting>
  <x:conditionalFormatting sqref="I9:I214">
    <x:cfRule type="containsText" dxfId="24" priority="2" operator="containsText" text="Pronto"/>
    <x:cfRule type="containsText" dxfId="27" priority="5" operator="containsText" text="Não se aplica"/>
  </x:conditionalFormatting>
  <x:conditionalFormatting sqref="J9:J214">
    <x:cfRule type="containsText" dxfId="25" priority="3" operator="containsText" text="Revisado"/>
  </x:conditionalFormatting>
  <x:conditionalFormatting sqref="K9:K214">
    <x:cfRule type="containsText" dxfId="26" priority="4" operator="containsText" text="Aprovada"/>
  </x:conditionalFormatting>
  <x:conditionalFormatting sqref="J9:K214">
    <x:cfRule type="containsText" dxfId="28" priority="6" operator="containsText" text="Ajustes solicitados"/>
  </x:conditionalFormatting>
  <x:conditionalFormatting sqref="L9:M214">
    <x:cfRule type="expression" dxfId="29" priority="7">
      <x:formula>AND(L9&lt;&gt;"0 de 0",LEFT(L9,FIND(" de ",L9)-1)=MID(L9,FIND(" de ",L9)+4,10))</x:formula>
    </x:cfRule>
  </x:conditionalFormatting>
  <x:dataValidations count="4">
    <x:dataValidation type="list" errorStyle="stop" showErrorMessage="1" errorTitle="Escolha um status da lista" error="Use uma das opções disponíveis para manter o controle consistente." sqref="H9:H214">
      <x:formula1>"Não iniciada,Em produção,Pronta"</x:formula1>
    </x:dataValidation>
    <x:dataValidation type="list" errorStyle="stop" showErrorMessage="1" errorTitle="Escolha um status da lista" error="Use uma das opções disponíveis para manter o controle consistente." sqref="I9:I214">
      <x:formula1>"Não iniciado,Falta gravar,Em gravação,Em edição,Pronto,Não se aplica"</x:formula1>
    </x:dataValidation>
    <x:dataValidation type="list" errorStyle="stop" showErrorMessage="1" errorTitle="Escolha um status da lista" error="Use uma das opções disponíveis para manter o controle consistente." sqref="J9:J214">
      <x:formula1>"Pendente,Em revisão,Ajustes solicitados,Revisado"</x:formula1>
    </x:dataValidation>
    <x:dataValidation type="list" errorStyle="stop" showErrorMessage="1" errorTitle="Escolha um status da lista" error="Use uma das opções disponíveis para manter o controle consistente." sqref="K9:K214">
      <x:formula1>"Pendente,Ajustes solicitados,Aprovada"</x:formula1>
    </x:dataValidation>
  </x:dataValidations>
  <x:pageMargins left="0.7" right="0.7" top="0.75" bottom="0.75" header="0.3" footer="0.3"/>
  <x:tableParts count="1">
    <x:tablePart xmlns:r="http://schemas.openxmlformats.org/officeDocument/2006/relationships" r:id="R4d003cbd1237465a"/>
  </x:tableParts>
</x:worksheet>
</file>